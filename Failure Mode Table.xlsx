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lure Mode Table" sheetId="1" r:id="rId5"/>
    <sheet state="visible" name="Assumptions" sheetId="2" r:id="rId6"/>
    <sheet state="visible" name="Working" sheetId="3" r:id="rId7"/>
    <sheet state="visible" name="Sources" sheetId="4" r:id="rId8"/>
  </sheets>
  <definedNames/>
  <calcPr/>
</workbook>
</file>

<file path=xl/sharedStrings.xml><?xml version="1.0" encoding="utf-8"?>
<sst xmlns="http://schemas.openxmlformats.org/spreadsheetml/2006/main" count="897" uniqueCount="771">
  <si>
    <t>Model parameters and shared inputs (edit here; the table recalculates)</t>
  </si>
  <si>
    <t>Sources (IDs referenced in the table)</t>
  </si>
  <si>
    <t>Intermediate data behind the table</t>
  </si>
  <si>
    <t>ID</t>
  </si>
  <si>
    <t>Parameter</t>
  </si>
  <si>
    <t>SCE system reliability indices, unplanned outages (SCE 2025 Annual Electric Reliability Report, Table 3; planned+unplanned from Table 7)</t>
  </si>
  <si>
    <t>Event rate per year' is the county-wide (or system-level) rate lambda unless the Rate basis column says otherwise. F = lambda/8760 (your original convention). G = F x area scaling factor 0.0831 for area-distributed hazards; per-customer power indices are already per node, so G = F. N = P(&gt;=1 event in an hour) = 1 - exp(-H). Q/R: per-edge (or per-node) hourly rate = H divided by the number of applicable edges from the Assumptions sheet (15 edges assumed; 9 freeway, 4 WUI, 1 SFHA). AV share: change Assumptions!C9 only - rows 1-3 scale by (1 - C9), rows 4-6 by C9. Evidence status: Empirical = number taken directly from a source; Derived = computed from sourced inputs (formula shown); Assumption = judgement; GAP = no defensible source found.</t>
  </si>
  <si>
    <t>Source</t>
  </si>
  <si>
    <t>URL</t>
  </si>
  <si>
    <t>Used for</t>
  </si>
  <si>
    <t>Access / verification note</t>
  </si>
  <si>
    <t>S1</t>
  </si>
  <si>
    <t>Value</t>
  </si>
  <si>
    <t>Year</t>
  </si>
  <si>
    <t>Unit</t>
  </si>
  <si>
    <t>Source / note</t>
  </si>
  <si>
    <t>SAIDI incl MED</t>
  </si>
  <si>
    <t>Giuliano, G. (1989). Incident characteristics, frequency, and duration on a high volume urban freeway. Transportation Research A 23(5). UC Irvine ITS working paper.</t>
  </si>
  <si>
    <t>LA County land area (sq mi)</t>
  </si>
  <si>
    <t>https://escholarship.org/content/qt59m3d34v/qt59m3d34v.pdf</t>
  </si>
  <si>
    <t>SAIFI incl MED</t>
  </si>
  <si>
    <t>Secondary / lower-bound cross-check for rows 1-2 (replaced by S58 in v4)</t>
  </si>
  <si>
    <t>Full text read.</t>
  </si>
  <si>
    <t>S2</t>
  </si>
  <si>
    <t>CAIDI incl MED</t>
  </si>
  <si>
    <t>Caltrans (2024). 2022 Crash Data on California State Highways - County summary for Los Angeles County.</t>
  </si>
  <si>
    <t>Number</t>
  </si>
  <si>
    <t>SAIDI excl MED</t>
  </si>
  <si>
    <t>https://dot.ca.gov/-/media/dot-media/programs/research-innovation-system-information/documents/annual-collision-data/2022-crash-data-on-cshwy-book-fixed-v2-a11y.pdf</t>
  </si>
  <si>
    <t>Rows 1, 3; PDO share</t>
  </si>
  <si>
    <t>Table extracted from PDF.</t>
  </si>
  <si>
    <t>SAIFI excl MED</t>
  </si>
  <si>
    <t>Hazard</t>
  </si>
  <si>
    <t>S3</t>
  </si>
  <si>
    <t>sq mi</t>
  </si>
  <si>
    <t>CAIDI excl MED</t>
  </si>
  <si>
    <t>TIMS (UC Berkeley SafeTREC) LA County fatal+injury crash counts 2022-2024, as quoted by secondary sources</t>
  </si>
  <si>
    <t>https://arashlaw.com/how-many-car-accidents-happen-each-day-in-los-angeles/ ; https://mylawcompany.com/los-angeles-car-accident-lawyer/statistics/</t>
  </si>
  <si>
    <t>Type</t>
  </si>
  <si>
    <t>P+U SAIDI excl MED</t>
  </si>
  <si>
    <t>Row 1 F+I crash count (40,449 in 2022; 40,717 in 2023)</t>
  </si>
  <si>
    <t>Meeting slides (slide 4); consistent with US Census county area.</t>
  </si>
  <si>
    <t>SECONDARY - TIMS requires login; please export the county total from tims.berkeley.edu to confirm.</t>
  </si>
  <si>
    <t>P+U SAIFI excl MED</t>
  </si>
  <si>
    <t>Severity</t>
  </si>
  <si>
    <t>Model region area (10 nodes) (sq mi)</t>
  </si>
  <si>
    <t>S4</t>
  </si>
  <si>
    <t>MED days</t>
  </si>
  <si>
    <t>Skabardonis, Petty, Noeimi, Rydzewski, Varaiya (1995). Freeway Service Patrol Evaluation (I-880). PATH UCB-ITS-PRR-95-5.</t>
  </si>
  <si>
    <t>Event rate per year (lambda)</t>
  </si>
  <si>
    <t>MED SAIFI (=C-F)</t>
  </si>
  <si>
    <t>https://escholarship.org/content/qt36r1t2m2/qt36r1t2m2.pdf</t>
  </si>
  <si>
    <t>Meeting slides: 10 nodes of 120.35 depots at 5% AV demand -&gt; 337.4 sq mi.</t>
  </si>
  <si>
    <t>Row 1 incident rates (~100/MVM, 4% lane-blocking) and durations</t>
  </si>
  <si>
    <t>MED CAIDI min (=(B-E)/K)</t>
  </si>
  <si>
    <t>Area scaling factor (model / county)</t>
  </si>
  <si>
    <t>P per hour (before scaling) = lambda/8760</t>
  </si>
  <si>
    <t>Planned SAIFI (=I-F)</t>
  </si>
  <si>
    <t>S5</t>
  </si>
  <si>
    <t>Crosstown LA (2019). SigAlerts up in Los Angeles (CHP data, 2016-2018).</t>
  </si>
  <si>
    <t>Planned CAIDI min (=(H-E)/M)</t>
  </si>
  <si>
    <t>https://xtown.la/2019/02/06/sigalerts-up-in-los-angeles/</t>
  </si>
  <si>
    <t>P per hour (after scaling)</t>
  </si>
  <si>
    <t>Row 2 rate</t>
  </si>
  <si>
    <t>Journalistic compilation of CHP data.</t>
  </si>
  <si>
    <t>Duration</t>
  </si>
  <si>
    <t>S6</t>
  </si>
  <si>
    <t>I-710 Big Rig Freeway Service Patrol evaluation (user's footnote; safehighways.org)</t>
  </si>
  <si>
    <t>https://safehighways.org/ (user-provided)</t>
  </si>
  <si>
    <t>Row 2 duration check 58-76 min (secondary in v4)</t>
  </si>
  <si>
    <t>From user's draft; not re-fetched.</t>
  </si>
  <si>
    <t>Notes</t>
  </si>
  <si>
    <t>S7</t>
  </si>
  <si>
    <t>NHTSA FARS 2020-2024, LA County fatal crashes (user's slide 8 query)</t>
  </si>
  <si>
    <t>Rate basis / unit</t>
  </si>
  <si>
    <t>https://crashviewer.nhtsa.dot.gov/CrashAPI</t>
  </si>
  <si>
    <t>Row 3 rate 952.5/yr</t>
  </si>
  <si>
    <t>API returned HTTP 403 from sandbox - NOT independently re-run.</t>
  </si>
  <si>
    <t>Scaling applied</t>
  </si>
  <si>
    <t>S8</t>
  </si>
  <si>
    <t>Caltrans quick-clearance / major-incident average clearance time 3 h 8 min (user's footnote; verified in earlier session)</t>
  </si>
  <si>
    <t>https://dot.ca.gov/ (user-provided)</t>
  </si>
  <si>
    <t>P(&gt;=1 event in hour) after scaling = 1-exp(-G)</t>
  </si>
  <si>
    <t>Row 3 duration cross-check 188 min (secondary in v4)</t>
  </si>
  <si>
    <t>Verified earlier.</t>
  </si>
  <si>
    <t>Evidence status</t>
  </si>
  <si>
    <t>S9</t>
  </si>
  <si>
    <t>California OTS Crash Rankings - Los Angeles County 2022 and 2023</t>
  </si>
  <si>
    <t>Duration basis</t>
  </si>
  <si>
    <t>https://www.ots.ca.gov/rankings/los-angeles-county-2022/ ; https://www.ots.ca.gov/rankings/los-angeles-county-2023/</t>
  </si>
  <si>
    <t>Victim counts (58,147 in 2022; 58,758 in 2023), DVMT</t>
  </si>
  <si>
    <t>Fetched.</t>
  </si>
  <si>
    <t>Applicable edges (count, from Assumptions)</t>
  </si>
  <si>
    <t>S10</t>
  </si>
  <si>
    <t>Waymo Safety Impact Hub (data through March 2026)</t>
  </si>
  <si>
    <t>https://waymo.com/safety/impact/</t>
  </si>
  <si>
    <t>P per hour PER EDGE (or per node) after scaling = H / Q</t>
  </si>
  <si>
    <t>Rows 4-6 AV/human ratios (LA)</t>
  </si>
  <si>
    <t>Fetched 23 Sep 2026.</t>
  </si>
  <si>
    <t>S11</t>
  </si>
  <si>
    <t>Kusano et al. (2025). Comparison of Waymo rider-only crash rates by crash type to human benchmarks at 56.7 million miles. Traffic Injury Prevention.</t>
  </si>
  <si>
    <t>https://www.tandfonline.com/doi/10.1080/15389588.2025.2499887</t>
  </si>
  <si>
    <t>Priority</t>
  </si>
  <si>
    <t>Rows 4-6 ratios and CIs</t>
  </si>
  <si>
    <t>Abstract + prior-session extraction; supplementary CSV not downloaded.</t>
  </si>
  <si>
    <t>S12</t>
  </si>
  <si>
    <t>Waymo LLC filing to CPUC (30 Jan 2026) on the 20 Dec 2025 San Francisco power outage</t>
  </si>
  <si>
    <t>https://docs.cpuc.ca.gov/PublishedDocs/Efile/G000/M597/K305/597305739.PDF</t>
  </si>
  <si>
    <t>Row 7 stall statistics (829 vehicles, 1,593 stops, 96% self-resolved)</t>
  </si>
  <si>
    <t>S13</t>
  </si>
  <si>
    <t>TechCrunch (30 Jun 2022). Cruise robotaxis blocked traffic for hours on this San Francisco street.</t>
  </si>
  <si>
    <t>Feasibility</t>
  </si>
  <si>
    <t>https://techcrunch.com/2022/06/30/cruise-robotaxis-blocked-traffic-for-hours-on-this-san-francisco-street/</t>
  </si>
  <si>
    <t>Row 7 event &amp; duration</t>
  </si>
  <si>
    <t>Snippet.</t>
  </si>
  <si>
    <t>S14</t>
  </si>
  <si>
    <t>LA Times (12 Aug 2023) / SF Standard (13 Aug 2023) - Cruise robotaxis stall in North Beach during Outside Lands</t>
  </si>
  <si>
    <t>https://www.latimes.com/california/story/2023-08-12/cruise-robotaxis-come-to-a-standstill ; https://sfstandard.com/2023/08/13/cruise-north-beach-stalled-robotaxis-aaron-peskin/</t>
  </si>
  <si>
    <t>Row 7 event (~10 vehicles)</t>
  </si>
  <si>
    <t>Snippets.</t>
  </si>
  <si>
    <t>S15</t>
  </si>
  <si>
    <t>Traffic incident - human driver (crash + non-crash: disablement, debris/spill, stall)</t>
  </si>
  <si>
    <t>SF Standard (7 Aug 2023; 23 Aug 2023) - Cruise 177 vehicle retrieval events Jan-Jul 2023; fleet sizes</t>
  </si>
  <si>
    <t>edge</t>
  </si>
  <si>
    <t>https://sfstandard.com/2023/08/07/california-may-allow-unlimited-robotaxis-how-disruptive-are-they-to-first-responders/ ; https://sfstandard.com/2023/08/23/cruise-waymo-spent-millions-to-lobby-for-free-rein-on-san-francisco-streets/</t>
  </si>
  <si>
    <t>Rows 7-8 normalisation</t>
  </si>
  <si>
    <t>Snippets; California Globe corroborates 300 night/100 day Cruise, 250 Waymo.</t>
  </si>
  <si>
    <t>low - reduced capacity (shoulder or &lt;= 1 lane)</t>
  </si>
  <si>
    <t>S16</t>
  </si>
  <si>
    <t>TIME (18 Jan 2024). The main reason EV drivers call AAA is not dead batteries.</t>
  </si>
  <si>
    <t>https://time.com/6556242/electric-vehicle-aaa-roadside-calls/</t>
  </si>
  <si>
    <t>Row 7b (160,000 EV calls 2023; 4% out of charge)</t>
  </si>
  <si>
    <t>S17</t>
  </si>
  <si>
    <t>AAA newsroom (2 Apr 2025) - ~215,000 EV service calls in 2024 (0.8% of events)</t>
  </si>
  <si>
    <t>https://newsroom.acg.aaa.com/aaa-urges-drivers-to-stay-proactive-on-auto-repair-and-maintenance/</t>
  </si>
  <si>
    <t>Row 7b</t>
  </si>
  <si>
    <t>ratio</t>
  </si>
  <si>
    <t>S18</t>
  </si>
  <si>
    <t>LA Metro Freeway Service Patrol (~300,000 assists/yr; 7-min average wait)</t>
  </si>
  <si>
    <t>Equals 337.4 / 4060.3 = 0.0831. Applied to county-wide, area-distributed hazards (traffic, AV, fire, flood, debris flow). NOT applied to per-customer power indices (already per node) or to regional earthquake rate.</t>
  </si>
  <si>
    <t>https://www.metro.net/riding/fsp/</t>
  </si>
  <si>
    <t>Hours per year</t>
  </si>
  <si>
    <t>h</t>
  </si>
  <si>
    <t>Non-leap year.</t>
  </si>
  <si>
    <t>Number of nodes (depots) in model</t>
  </si>
  <si>
    <t>nodes</t>
  </si>
  <si>
    <t>Meeting slides.</t>
  </si>
  <si>
    <t>AV share of VMT in model</t>
  </si>
  <si>
    <t>fraction</t>
  </si>
  <si>
    <t>Meeting slides: 5% AV demand. Used to split human vs AV traffic hazards.</t>
  </si>
  <si>
    <t>AV/human ratio: police-reported (any) crash rate</t>
  </si>
  <si>
    <t>Row 7b tow response</t>
  </si>
  <si>
    <t>S19</t>
  </si>
  <si>
    <t>Mission Local (9 Aug 2023). 55 reports of robotaxis interfering with S.F. firefighters.</t>
  </si>
  <si>
    <t>https://missionlocal.org/2023/08/cruise-waymo-autonomous-vehicle-robot-taxi-driverless-car-reports-san-francisco/</t>
  </si>
  <si>
    <t>Kusano et al. 2025 / user footnote (PubMed 39485678): 2.1 vs 4.68 police-reported crashes per M miles, all locations. Used for LOW severity (row 4).</t>
  </si>
  <si>
    <t>Row 8 rate and durations</t>
  </si>
  <si>
    <t>AV/human ratio: any-injury crash rate, Los Angeles</t>
  </si>
  <si>
    <t>S20</t>
  </si>
  <si>
    <t>SFMTA/SFFD presentation to CPUC status conference, 7 Aug 2023</t>
  </si>
  <si>
    <t>https://www.sfmta.com/sites/default/files/reports-and-documents/2023/08/2023.08.07_cpuc_status_conference_8.7.2023_final.pdf</t>
  </si>
  <si>
    <t>Row 8 (~600 incidents since launch; durations minutes to hours)</t>
  </si>
  <si>
    <t>S21</t>
  </si>
  <si>
    <t>SCE (2026). Annual Electric Reliability Report 2025 (Tables 1, 2, 3, 7, 16, 17).</t>
  </si>
  <si>
    <t>https://www.sce.com/sites/default/files/outage-safety/Annual%20Electric%20Reliability%20Report%202025.pdf</t>
  </si>
  <si>
    <t>Rows 9-12</t>
  </si>
  <si>
    <t>PDF downloaded and parsed.</t>
  </si>
  <si>
    <t>S22</t>
  </si>
  <si>
    <t>SCE (2025). Annual Electric Reliability Report 2024 (Tables 1-3, 7).</t>
  </si>
  <si>
    <t>https://www.sce.com/sites/default/files/outage-safety/Annual%20Reliability%20Report%202024.pdf</t>
  </si>
  <si>
    <t>Rows 9-11 cross-check; 2024 MED list</t>
  </si>
  <si>
    <t>S23</t>
  </si>
  <si>
    <t>SCE 2026 PSPS Action Plan (28 May 2026), CPUC</t>
  </si>
  <si>
    <t>Waymo Safety Impact Hub (data through Mar 2026), LA: 0.91 vs 2.42 IPMM (-62%). Used for MID severity (row 5).</t>
  </si>
  <si>
    <t>https://www.cpuc.ca.gov/-/media/cpuc-website/divisions/safety-and-enforcement-division/psps/sce-2026-psps-action-plan_28-may-2026.pdf</t>
  </si>
  <si>
    <t>Row 12 event counts and restoration</t>
  </si>
  <si>
    <t>AV/human ratio: airbag-deployment crash rate, Los Angeles</t>
  </si>
  <si>
    <t>S24</t>
  </si>
  <si>
    <t>CPUC PSPS post-event reports (SCE 2024 events involving LA County)</t>
  </si>
  <si>
    <t>https://www.cpuc.ca.gov/psps/</t>
  </si>
  <si>
    <t>Row 12 LA County event count (5 in 2024)</t>
  </si>
  <si>
    <t>From earlier session review of CPUC report list.</t>
  </si>
  <si>
    <t>S25</t>
  </si>
  <si>
    <t>CAL FIRE incident archives 2020-2025</t>
  </si>
  <si>
    <t>https://www.fire.ca.gov/incidents/2020 ... https://www.fire.ca.gov/incidents/2025</t>
  </si>
  <si>
    <t>Rows 13-14 fire counts</t>
  </si>
  <si>
    <t>Fetched all six years; LA County entries listed in Working sheet.</t>
  </si>
  <si>
    <t>S26</t>
  </si>
  <si>
    <t>Caltrans District 7 news release (8 Sep 2022) - Route Fire I-5 repairs; ABC7 (31 Aug 2022) I-5 closed both directions</t>
  </si>
  <si>
    <t>https://dot.ca.gov/caltrans-near-me/district-7/district-7-news/d7-news-release-northbound-i5-closed ; https://abc7.com/post/brush-fire-castaic-route-wildfire/12183575/</t>
  </si>
  <si>
    <t>Row 13</t>
  </si>
  <si>
    <t>Waymo Safety Impact Hub, LA: 0.27 vs 1.19 IPMM (-77%). Alternative for row 5.</t>
  </si>
  <si>
    <t>S27</t>
  </si>
  <si>
    <t>AV/human ratio: serious-injury-or-worse crash rate</t>
  </si>
  <si>
    <t>AP / ABC7 (22 Jan 2025) - Hughes Fire closed 30 miles of I-5 for several hours; reopened same evening</t>
  </si>
  <si>
    <t>https://apnews.com/article/california-fires-los-angeles-winds-300bac5d21394adf9d44493c4ccd337b</t>
  </si>
  <si>
    <t>Row 13 (excluded: &lt; 24 h)</t>
  </si>
  <si>
    <t>Kusano et al. 2025 (TIP), LA serious injury+: -85% [39%, 99%] -&gt; 0.15. Hub LA shows 0.00 vs 0.15 (0 events in 51.8M mi); all-locations 0.01/0.23 = 0.04. 0.15 used as conservative value (row 6).</t>
  </si>
  <si>
    <t>S28</t>
  </si>
  <si>
    <t>Governor's office / Fox Weather (22-23 May 2025) - PCH reopens after Palisades Fire closure since 7 Jan 2025</t>
  </si>
  <si>
    <t>PDO share of police-reported crashes (state highways, LA County 2022)</t>
  </si>
  <si>
    <t>https://www.gov.ca.gov/2025/05/22/the-pch-is-reopening-governor-newsom-local-partners-will-reopen-the-iconic-roadway-ahead-of-schedule-and-in-time-for-memorial-day-weekend/</t>
  </si>
  <si>
    <t>Rows 13-14 duration</t>
  </si>
  <si>
    <t>S29</t>
  </si>
  <si>
    <t>LA Times (6 Sep 2020; 9 Oct 2020) - Bobcat Fire closes Angeles Crest Highway</t>
  </si>
  <si>
    <t>https://www.latimes.com/california/story/2020-09-06/brush-fire-has-erupted-in-angeles-national-forest-near-cogswell-reservoir</t>
  </si>
  <si>
    <t>0.25-0.4 h. LA FSP FY2020-21 average on-scene assist time 15.1 min (collision 24.4, mechanical 18.8, flat 17.8, debris 10.4, out of gas 12.4 min) + ~2.5-10 min wait for the truck; Caltrans 2025 manual: minor incidents &lt; 30 min. Giuliano 1989 (37 min mean incl. detection) is an upper bound.</t>
  </si>
  <si>
    <t>S30</t>
  </si>
  <si>
    <t>Caltrans emergency road closures dataset (user's footnote 13) / Caltrans LCS District 7</t>
  </si>
  <si>
    <t>California FSP MIS Annual Report FY2020-21 (Mauch &amp; Skabardonis 2022), Los Angeles tables [S58]; Metro OIG FSP review 2020 [S59]; Caltrans Traffic Ops Manual Ch.130 (2025) duration classes [S61]; PeMS CHP incidents Q1 2025 (user export) [S62]; Caltrans 2022 Crash Data, LA County [S2]; TIMS county totals via [S3]; Giuliano 1989 (secondary) [S1]; Lindley/Goolsby capacity-loss table via ROSAP DOT-26855 [S54].</t>
  </si>
  <si>
    <t>https://data.ca.gov/dataset/caltrans-emergency-road-closures ; https://lcswebreports.dot.ca.gov/searchdistricts?district=7</t>
  </si>
  <si>
    <t>Rows 13, 15 (potential empirical closure history)</t>
  </si>
  <si>
    <t>Not parsed - LCS is a live 7-day feed; historical archive would need a data request.</t>
  </si>
  <si>
    <t>S31</t>
  </si>
  <si>
    <t>LA Times (11 Oct 2019). Saddleridge fire closes major freeways (I-5, SR-14, I-210, SR-118 connectors).</t>
  </si>
  <si>
    <t>Caltrans 2022 Crash Data on California State Highways, LA County: 26,429 PDO of 39,689 crashes. Used to gross up TIMS fatal+injury counts to all-severity.</t>
  </si>
  <si>
    <t>https://www.latimes.com/california/story/2019-10-11/saddleridge-fire-closes-four-freeways-causing-hellish-morning-commute</t>
  </si>
  <si>
    <t>TIERS ARE MUTUALLY EXCLUSIVE: lambda_1 = (all reported incidents) - lambda_2 - lambda_3, so an incident is counted in exactly one of rows 1-3. All reported incidents = police-reported crashes (40,449 F+I / (1-0.666 PDO share) = 121,000) / 0.164 (collision share of LA FSP assists, FY2020-21) x human VMT share -&gt; ~0.70 M/yr county-wide (was ~1.05 M with Giuliano 1989's 11%); rows 2-3 remove only ~3,100 of these (0.4%). WHAT IS IN ROW 1: (a) every non-fatal crash (PDO or injury) that does NOT block a lane for &gt;= 30 min - i.e. shoulder-only crashes (59% of freeway crashes) and short lane blockages (most of the remaining 41%: mean lane-closing crash duration 38-66 min but the SigAlert count captures only those the CHP declares); (b) all non-crash incidents (disablements 80%, debris/spills/pedestrians/police 9%) that are not SigAlerts. NOT in row 1: SigAlert-class blockages (row 2) and fatal crashes (row 3). Cross-checks (freeways carry ~50% of VMT, so row 1 implies ~350,000 freeway incidents/yr): PeMS CHP-logged incidents, District 7, 2025 (Q1+Q3+Q4; Q2 is a data gap) = 4.08 per MVMT -&gt; ~145,000/yr on LA freeways (LOWER bound - CHP logs only); LA FSP 237,752 assists in FY2020-21 during service hours only; I-880 probe study ~100 incidents/MVMT incl. unreported short stops (upper bound, 3.5 M/yr). Capacity effect (Lindley 1986 table): shoulder disablement keeps 0.95-0.99 of capacity, shoulder crash 0.81-0.93, one lane blocked 0.35-0.78 (2-8 directional lanes), two lanes blocked 0.00-0.63; Goolsby: 1 of 3 lanes blocked = -50% capacity. Split for simulation: ~90% of incidents are shoulder-only (capacity x0.81-0.99), ~10% in a travel lane (x0.35-0.78; Assumptions C32 = LA FSP 10.3%; range 4-18%). Recurring congestion is NOT in this row - see row 1c. After scaling, ~6.6 events/h in the model area (~0.44/h per edge with 15 edges) -&gt; sample count per hour from Poisson.</t>
  </si>
  <si>
    <t>Row 14</t>
  </si>
  <si>
    <t>LA County fatal+injury crashes per year (TIMS/SWITRS, 2022)</t>
  </si>
  <si>
    <t>county-wide reported incidents / yr (all roads, all types)</t>
  </si>
  <si>
    <t>S32</t>
  </si>
  <si>
    <t>CAL FIRE Top 20 most destructive California wildfires (user's footnote 14)</t>
  </si>
  <si>
    <t>crashes/yr</t>
  </si>
  <si>
    <t>x area factor (0.0831)</t>
  </si>
  <si>
    <t>https://www.fire.ca.gov/our-impact/statistics</t>
  </si>
  <si>
    <t>TIMS (UC Berkeley SafeTREC) county total for 2022 as reported by secondary sources (mylawcompany.com; arashlaw.com gives 40,717 for 2023 and 40,389 for 2024). PRIMARY TIMS EXPORT NOT VERIFIED (login required) - flag.</t>
  </si>
  <si>
    <t>Row 14 (LA County entries)</t>
  </si>
  <si>
    <t>From user's draft.</t>
  </si>
  <si>
    <t>LA County state-highway crashes, all severities (Caltrans 2022)</t>
  </si>
  <si>
    <t>S33</t>
  </si>
  <si>
    <t>Zehra, A. &amp; Wong, S. (2024). Systematic review of wildfire evacuations. Transportation Planning and Technology.</t>
  </si>
  <si>
    <t>https://www.tandfonline.com/doi/full/10.1080/03081060.2024.2348713</t>
  </si>
  <si>
    <t>Caltrans 2022 Crash Data on California State Highways, LA County total (831.7 route-miles, 37,516.6 MVM; 26,429 PDO / 13,006 injury / 254 fatal).</t>
  </si>
  <si>
    <t>Rows 14, 17 (81 CA highway-damaging fires 2015-2020; debris-flow persistence 3 yr)</t>
  </si>
  <si>
    <t>Slide 6-8 source; fetched.</t>
  </si>
  <si>
    <t>LA County SigAlerts per year (2018)</t>
  </si>
  <si>
    <t>S34</t>
  </si>
  <si>
    <t>events/yr</t>
  </si>
  <si>
    <t>FEMA IS-0273 / flood zone AEP definitions (user's footnotes 15-16)</t>
  </si>
  <si>
    <t>CHP data via Crosstown LA: 2,515 SigAlerts in 2018 on 11 LA County freeways (2,239 in 2016). SigAlert = &gt;=1 lane blocked &gt;=30 min.</t>
  </si>
  <si>
    <t>https://training.fema.gov/is/courseoverview.aspx?code=IS-273</t>
  </si>
  <si>
    <t>Rows 15-16</t>
  </si>
  <si>
    <t>LA County fatal crashes per year (FARS 2020-2024 avg)</t>
  </si>
  <si>
    <t>S35</t>
  </si>
  <si>
    <t>Fraser, Chester &amp; Underwood (2020). Wildfire risk, post-fire debris flows, and transportation infrastructure vulnerability. Sustainable and Resilient Infrastructure.</t>
  </si>
  <si>
    <t>User's slide 8 (FARS query). Could not re-run FARS API from sandbox (HTTP 403). Cross-check: TIMS/OTS report 868 traffic deaths in LA County in 2022 - same order of magnitude.</t>
  </si>
  <si>
    <t>https://www.tandfonline.com/doi/full/10.1080/23789689.2020.1737785</t>
  </si>
  <si>
    <t>Row 17</t>
  </si>
  <si>
    <t>Slide 6-8 source; abstract read.</t>
  </si>
  <si>
    <t>SCE SAIFI, unplanned, MED excluded (10-yr avg 2016-2025)</t>
  </si>
  <si>
    <t>S36</t>
  </si>
  <si>
    <t>USGS post-fire debris-flow hazard assessments - Palisades and Eaton (2025)</t>
  </si>
  <si>
    <t>https://data.usgs.gov/datacatalog/data/USGS:6838d17ed4be02592574719a ; https://data.usgs.gov/datacatalog/data/USGS:6838d149d4be025925747189</t>
  </si>
  <si>
    <t>Landing pages only.</t>
  </si>
  <si>
    <t>S37</t>
  </si>
  <si>
    <t>CRS Insight IN12507 - Federal assessments and warnings of potential post-fire debris flows (LA 2025)</t>
  </si>
  <si>
    <t>https://www.congress.gov/crs-product/IN12507</t>
  </si>
  <si>
    <t>S38</t>
  </si>
  <si>
    <t>California Geological Survey - Debris flows (user's footnote 18)</t>
  </si>
  <si>
    <t>https://www.conservation.ca.gov/cgs/debris-flows</t>
  </si>
  <si>
    <t>Fetch blocked (robots); from user's draft.</t>
  </si>
  <si>
    <t>S39</t>
  </si>
  <si>
    <t>Derived</t>
  </si>
  <si>
    <t>USGS FAQ - probability of earthquake in LA / SF (UCERF3)</t>
  </si>
  <si>
    <t>https://www.usgs.gov/faqs/what-probability-earthquake-will-occur-los-angeles-area-san-francisco-bay-area</t>
  </si>
  <si>
    <t>Row 18 rate</t>
  </si>
  <si>
    <t>Snippet (60% M6.7+ in 30 yr).</t>
  </si>
  <si>
    <t>S40</t>
  </si>
  <si>
    <t>Los Angeles Earthquake Transportation Study: Northridge 1994 (ROSAP DOT-521)</t>
  </si>
  <si>
    <t>https://rosap.ntl.bts.gov/view/dot/521/dot_521_DS1.pdf</t>
  </si>
  <si>
    <t>Row 18 durations (I-10 rebuilt in 66 days; I-5/SR-14 interchange rebuilt)</t>
  </si>
  <si>
    <t>interruptions/customer-yr</t>
  </si>
  <si>
    <t>Empirical (LA FSP FY2020-21 on-scene times)</t>
  </si>
  <si>
    <t>S41</t>
  </si>
  <si>
    <t>Average of SCE 2025 Annual Electric Reliability Report Table 3 (Working sheet); SCE Table 1 rounds to 0.90. 2023: 0.937; 2024: 0.901; 2025: 0.963.</t>
  </si>
  <si>
    <t>Economic impacts of the Northridge earthquake (eScholarship) and Wikipedia summary of freeway closures</t>
  </si>
  <si>
    <t>https://escholarship.org/content/qt3vp8940q/qt3vp8940q_noSplash_a93fdef47db196114ca221dc540f326f.pdf ; https://en.wikipedia.org/wiki/1994_Northridge_earthquake</t>
  </si>
  <si>
    <t>SCE CAIDI, unplanned, MED excluded (10-yr avg 2016-2025) (min)</t>
  </si>
  <si>
    <t>Row 18</t>
  </si>
  <si>
    <t>S42</t>
  </si>
  <si>
    <t>LAFD FireStatLA station map (slide 7 source)</t>
  </si>
  <si>
    <t>https://lafd.org/fsla/stations-map?year=2025</t>
  </si>
  <si>
    <t>Structure-fire counts (slide 7 idea)</t>
  </si>
  <si>
    <t>GAP - JavaScript dashboard; no data extracted.</t>
  </si>
  <si>
    <t>S43</t>
  </si>
  <si>
    <t>Norlen, Sharma, Escobedo et al. (2026). Socio-ecological impacts of the 2025 LA urban fires. Nature Communications (slide 6)</t>
  </si>
  <si>
    <t>https://pubs.usgs.gov/publication/70275365</t>
  </si>
  <si>
    <t>Context only</t>
  </si>
  <si>
    <t>No closure statistics.</t>
  </si>
  <si>
    <t>S44</t>
  </si>
  <si>
    <t>UCLA ITS (2025). Transit riders' evacuation experiences in the 2025 LA fires (slide 6)</t>
  </si>
  <si>
    <t>https://its.ucla.edu/publication/transit-riders-evacuation-2025-la-fires/</t>
  </si>
  <si>
    <t>Context (26% evacuated; half took &gt; 1 h)</t>
  </si>
  <si>
    <t>Fetched; evacuation only.</t>
  </si>
  <si>
    <t>min</t>
  </si>
  <si>
    <t>S45</t>
  </si>
  <si>
    <t>Average of Table 3 (Working sheet); SCE Table 1 gives 107.32. 2023: 102.31; 2024: 111.25; 2025: 120.79.</t>
  </si>
  <si>
    <t>LA County Public Works road closures dashboard (slide 6)</t>
  </si>
  <si>
    <t>https://pw.lacounty.gov/roadclosures/</t>
  </si>
  <si>
    <t>Row 13/15 potential</t>
  </si>
  <si>
    <t>SCE SAIFI, unplanned, MED included (10-yr avg 2016-2025)</t>
  </si>
  <si>
    <t>Live dashboard, no history export.</t>
  </si>
  <si>
    <t>S46</t>
  </si>
  <si>
    <t>CAL FIRE historical fire perimeters (slide 6)</t>
  </si>
  <si>
    <t>https://data.ca.gov/dataset/california-historical-fire-perimeters</t>
  </si>
  <si>
    <t>Rows 13-14 (spatial intersection with edges)</t>
  </si>
  <si>
    <t>ArcGIS REST available; not yet intersected with your edges.</t>
  </si>
  <si>
    <t>S47</t>
  </si>
  <si>
    <t>Hou, Darr &amp; Zhang (2022) TRR; Ahmad et al. (2023) Fire; Wolshon et al. (2026) Maui; Noi, Dodge &amp; Murray (2025) (slides 6-8)</t>
  </si>
  <si>
    <t>see notes file</t>
  </si>
  <si>
    <t>Methodological only</t>
  </si>
  <si>
    <t>No LA rates.</t>
  </si>
  <si>
    <t>S58</t>
  </si>
  <si>
    <t>Mauch, M. &amp; Skabardonis, A. (2022). California's Freeway Service Patrol Program: Management Information System Annual Report FY2020-21. UC ITS.</t>
  </si>
  <si>
    <t>https://escholarship.org/content/qt88r042s8/qt88r042s8_noSplash_fd06418ef1a26310bb9276d87073cd25.pdf</t>
  </si>
  <si>
    <t>Row 1 collision share (C31), in-lane share (C32), durations</t>
  </si>
  <si>
    <t>Fetched; LA tables extracted.</t>
  </si>
  <si>
    <t>SCE 2025 report Table 1.</t>
  </si>
  <si>
    <t>S59</t>
  </si>
  <si>
    <t>LA Metro Office of the Inspector General (2020). Review of LA Metro's Freeway Service Patrol Program, 20-AUD-06.</t>
  </si>
  <si>
    <t>SCE SAIDI, unplanned, MED included (10-yr avg) (min)</t>
  </si>
  <si>
    <t>https://0201.nccdn.net/1_2/000/000/139/461/20-aud-06-final-report-on-metro-fsp-program-2020.05.04.pdf</t>
  </si>
  <si>
    <t>Row 1 cross-check (LA assist duration 17.3 min FY14, 15.9 min FY18; 345,147 assists FY18; 83% self-found)</t>
  </si>
  <si>
    <t>S60</t>
  </si>
  <si>
    <t>Caltrans Mile Marker (Sep 2015). System efficiency relies on incident clearance.</t>
  </si>
  <si>
    <t>https://dot.ca.gov/-/media/dot-media/programs/risk-strategic-management/documents/mm-2015-q3-incident-clearance-a11y.pdf</t>
  </si>
  <si>
    <t>Row 3 duration (3 h 17 min; by type)</t>
  </si>
  <si>
    <t>Fetched. Statewide, not LA-specific.</t>
  </si>
  <si>
    <t>S61</t>
  </si>
  <si>
    <t>Caltrans Traffic Operations Manual, Chapter 130 Traffic Incident Management (July 2025): minor &lt; 30 min, intermediate 30 min-2 h, major &gt; 2 h (CA MUTCD); 90-min major clearance goal.</t>
  </si>
  <si>
    <t>1b</t>
  </si>
  <si>
    <t>https://dot.ca.gov/-/media/dot-media/programs/traffic-operations/documents/trafficops/202506-tom-ch-130-traffic-incident-management-a11y.pdf</t>
  </si>
  <si>
    <t>Rows 1-3 duration classes</t>
  </si>
  <si>
    <t>Weather - rain day (reduced capacity on all edges; 2-3x incident rate)</t>
  </si>
  <si>
    <t>all edges (regional, same day)</t>
  </si>
  <si>
    <t>S62</t>
  </si>
  <si>
    <t>low - reduced capacity, elevated incident rate</t>
  </si>
  <si>
    <t>Caltrans PeMS, CHP Incidents &gt; Summary by freeway, District 7, 2025 Q1-Q4, all types and severities (user exports, generated 23 Sep 2026)</t>
  </si>
  <si>
    <t>https://pems.dot.ca.gov/?report_form=1&amp;dnode=District&amp;content=incidents&amp;tab=inc_summary&amp;district_id=7&amp;s_time_id=1735689600&amp;e_time_id=1743465540&amp;gb=fwy&amp;q2=vmt&amp;severity=sev_all</t>
  </si>
  <si>
    <t>SCE SAIDI, unplanned, MED excluded (10-yr avg) (min)</t>
  </si>
  <si>
    <t>Row 1 cross-check; Assumptions C47-C50; Working rows 64-73, 96-120</t>
  </si>
  <si>
    <t>User-provided PDFs (88 freeway-directions each). Q2 shows 0 incidents everywhere - excluded as a data gap. Link shown is Q1; change the dates for other quarters.</t>
  </si>
  <si>
    <t>10-yr avg</t>
  </si>
  <si>
    <t>S48</t>
  </si>
  <si>
    <t>Climate of Los Angeles - NOAA 1991-2020 normals table (Downtown/USC): 34.1 days/yr with &gt;= 0.01 in precipitation</t>
  </si>
  <si>
    <t>https://en.wikipedia.org/wiki/Climate_of_Los_Angeles</t>
  </si>
  <si>
    <t>Row 1b</t>
  </si>
  <si>
    <t>Fetched. Secondary tabulation of NOAA normals; weather.com quotes 36 days.</t>
  </si>
  <si>
    <t>S49</t>
  </si>
  <si>
    <t>FHWA (2006). Coordinated Freeway and Arterial Operations Handbook, FHWA-HRT-06-095, Fig. 2 'Sources of traffic congestion' (bottlenecks 40%, incidents 25%, weather 15%, work zones 10%, signals 5%, events 5%)</t>
  </si>
  <si>
    <t>https://www.fhwa.dot.gov/publications/research/operations/its/06095/508caption.cfm</t>
  </si>
  <si>
    <t>Rows 1b, 1c</t>
  </si>
  <si>
    <t>S50</t>
  </si>
  <si>
    <t>Caltrans District 7 Mobility Performance Report, Q1 2022 (8.5 billion freeway VMT in the quarter; 23 M vehicle-hours of delay, 98.2% in LA County)</t>
  </si>
  <si>
    <t>https://dot.ca.gov/-/media/dot-media/programs/traffic-operations/documents/mpr/2022/q1/2022-d7-q1.pdf</t>
  </si>
  <si>
    <t>Row 1c</t>
  </si>
  <si>
    <t>S51</t>
  </si>
  <si>
    <t>SCE planned-outage SAIFI (avg 2023-2025)</t>
  </si>
  <si>
    <t>Boeing, G. (2020). A multi-scale analysis of 27,000 urban street networks (arXiv 1705.02198): US urbanized areas average 2.76 streets per node (SD 0.16)</t>
  </si>
  <si>
    <t>https://arxiv.org/html/1705.02198v4</t>
  </si>
  <si>
    <t>Edge-count assumption (Assumptions C37)</t>
  </si>
  <si>
    <t>S52</t>
  </si>
  <si>
    <t>County of Los Angeles All-Hazards Mitigation Plan (approved May 2020): 1%-AEP SFHA 4.19 sq mi (0.09%), 0.2%-AEP 243.32 sq mi (5.11%); FHSZ Very High LRA 386.06 sq mi (8.11%), Very High SRA 625.01 sq mi (13.13%), High SRA 132.77 sq mi (2.79%); 95% of rain Nov-Apr</t>
  </si>
  <si>
    <t>https://ceo.lacounty.gov/wp-content/uploads/2022/04/County-of-Los-Angeles-All-Hazards-Mitigation-Plan-APPROVED-05-2020.pdf</t>
  </si>
  <si>
    <t>Edge exposure assumptions (C40-C45)</t>
  </si>
  <si>
    <t>S53</t>
  </si>
  <si>
    <t>LA County Public Works, Safe Clean Water Program PEIR Sec. 3.19 Wildfire (same FHSZ areas as S52)</t>
  </si>
  <si>
    <t>https://pw.lacounty.gov/swq/peir/doc/PEIR-doc/3.19-Wildfire.pdf</t>
  </si>
  <si>
    <t>Edge exposure assumption (C42)</t>
  </si>
  <si>
    <t>S54</t>
  </si>
  <si>
    <t>Temporary Losses of Highway Capacity and Impacts on Performance (ROSAP DOT-26855), Table 4.1 portion of freeway capacity available under incident conditions (Lindley 1986) and Goolsby 1971 / Smith 2003 values</t>
  </si>
  <si>
    <t>https://rosap.ntl.bts.gov/view/dot/26855/dot_26855_DS1.pdf</t>
  </si>
  <si>
    <t>Row 1 capacity effects</t>
  </si>
  <si>
    <t>S55</t>
  </si>
  <si>
    <t>LA Times (24 Mar 2025). New CAL FIRE hazard maps add &gt;440,000 acres to LA County hazard zones (+30% in the highest class)</t>
  </si>
  <si>
    <t>https://www.latimes.com/environment/story/2025-03-24/new-fire-hazard-maps-for-los-angeles-and-southern-california</t>
  </si>
  <si>
    <t>Rain-day: treat as 6-24 h per event (34 rain days/yr but ~15 in of rain -&gt; most days are light, a few hours of rain). Nov-Apr carries 95% of rainfall.</t>
  </si>
  <si>
    <t>S56</t>
  </si>
  <si>
    <t>Tracking California - Traffic Volumes (nearly half of California VMT on Interstates, freeways and expressways; LA County = 23% of state VMT)</t>
  </si>
  <si>
    <t>NOAA 1991-2020 normals, downtown LA: 34.1 days/yr &gt;= 0.01 in [S48]; Skabardonis et al. 1995: 3.5 accidents/shift on rainy days vs 1.5 clear (I-880) [S4]; FHWA: bad weather = 15% of congestion [S49]; LA County Hazard Mitigation Plan (95% of rain Nov-Apr) [S52].</t>
  </si>
  <si>
    <t>https://trackingcalifornia.org/topics/transportation-equity/traffic-volumes</t>
  </si>
  <si>
    <t>Freeway share cross-check (C36)</t>
  </si>
  <si>
    <t>S57</t>
  </si>
  <si>
    <t>Rain is a REGIONAL common-cause event: on a rain day every edge loses some capacity and incident rows 1-6 should be multiplied by ~2-3 (I-880: 2.3x accidents per shift on rainy days). Not area-scaled (weather covers the whole model region). Capacity/speed reductions for rain are tabulated in HCM 2010 Ch. 10/11 weather adjustment factors (not extracted here - GAP for exact CAF values). Seasonality: concentrate the 34 days in Nov-Apr (LA County: 95% of rain in that window).</t>
  </si>
  <si>
    <t>Note: 2020-2021 planned indices are SCE 'conservative interim estimates'; 2022-2025 use the new meter-data method (not comparable with earlier years). MED threshold T_MED = 2.07 min (2024), 2.04 min (2025) daily SAIDI.</t>
  </si>
  <si>
    <t>Caltrans Facts 2022 booklet (state AVMT by system, 2020)</t>
  </si>
  <si>
    <t>Derived: (planned+unplanned SAIFI, MED excl., Table 7) minus (unplanned SAIFI, MED excl., Table 3), SCE 2025 report. 2023: 0.332; 2024: 0.349; 2025: 0.253.</t>
  </si>
  <si>
    <t>https://dot.ca.gov/-/media/dot-media/programs/research-innovation-system-information/documents/caltrans-fact-booklets/2022-caltrans-factsv2-a11y.pdf</t>
  </si>
  <si>
    <t>Context (VMT shares)</t>
  </si>
  <si>
    <t>rain days / yr (downtown LA normals)</t>
  </si>
  <si>
    <t>SCE planned-outage CAIDI (avg 2023-2025) (min)</t>
  </si>
  <si>
    <t>none (per-edge or per-fleet basis; see notes)</t>
  </si>
  <si>
    <t>Customers by outage duration, 7 Jan 2025 MED (Metro East; weather + PSPS) - SCE 2025 report Table 17</t>
  </si>
  <si>
    <t>0-1 h</t>
  </si>
  <si>
    <t>Empirical (frequency) / Assumption (duration, multiplier)</t>
  </si>
  <si>
    <t>1-5 h</t>
  </si>
  <si>
    <t>5-10 h</t>
  </si>
  <si>
    <t>10-15 h</t>
  </si>
  <si>
    <t>15-20 h</t>
  </si>
  <si>
    <t>Assumption</t>
  </si>
  <si>
    <t>20-24 h</t>
  </si>
  <si>
    <t>n/a (system / regional / fleet event)</t>
  </si>
  <si>
    <t>1-2 d</t>
  </si>
  <si>
    <t>2-3 d</t>
  </si>
  <si>
    <t>3-4 d</t>
  </si>
  <si>
    <t>4-5 d</t>
  </si>
  <si>
    <t>5-6 d</t>
  </si>
  <si>
    <t>6-7 d</t>
  </si>
  <si>
    <t>&gt;=7 d</t>
  </si>
  <si>
    <t>Total</t>
  </si>
  <si>
    <t>1c</t>
  </si>
  <si>
    <t>Recurring congestion / bottlenecks (deterministic, not a random failure)</t>
  </si>
  <si>
    <t>edge (freeway edges in peak)</t>
  </si>
  <si>
    <t>low - reduced speed/capacity, scheduled</t>
  </si>
  <si>
    <t>n/a (deterministic)</t>
  </si>
  <si>
    <t>n/a</t>
  </si>
  <si>
    <t>Weekday AM (6-10) and PM (15-19) peaks; Caltrans D7 Q1 2022: 23 million vehicle-hours of delay, 98% in LA County, on 8.5 billion freeway VMT per quarter.</t>
  </si>
  <si>
    <t>FHWA sources of congestion: bottlenecks 40%, incidents 25%, weather 15%, work zones 10%, signals 5%, events 5% [S49]; Caltrans District 7 Mobility Performance Report Q1 2022 [S50]; Caltrans PeMS for edge-level speed profiles (not extracted).</t>
  </si>
  <si>
    <t>Not a stochastic failure mode, so no lambda: recurring congestion is 40% of US congestion (FHWA) and is predictable by time of day. Recommend a deterministic hourly capacity/speed profile per freeway edge from Caltrans PeMS, and let rows 1, 1b, 2-6 be the random component on top of it. If you must have a rate: every weekday peak hour on every freeway edge (~2,000 h/yr per edge, P = 1 in those hours).</t>
  </si>
  <si>
    <t>deterministic time-of-day profile</t>
  </si>
  <si>
    <t>Empirical (nature) - no rate needed</t>
  </si>
  <si>
    <t>Empirical (Caltrans D7 MPR)</t>
  </si>
  <si>
    <t>all freeway edges</t>
  </si>
  <si>
    <t>Traffic incident - human driver</t>
  </si>
  <si>
    <t>mid - no capacity</t>
  </si>
  <si>
    <t>Derived: planned SAIDI / planned SAIFI by year (2023: 330 min; 2024: 247 min; 2025: 323 min).</t>
  </si>
  <si>
    <t>SCE PSPS events touching LA County per year (2024)</t>
  </si>
  <si>
    <t>CPUC PSPS post-event reports 2024 involving LA County (Jun, Aug, Sep, Oct, Dec). System-wide SCE PSPS events: 12 (2020), 8 (2023), 20 (2024), 14 (2025) per SCE 2026 PSPS Action Plan.</t>
  </si>
  <si>
    <t>q = P(&gt;=3 of 10 nodes de-energized | PSPS event)</t>
  </si>
  <si>
    <t>probability</t>
  </si>
  <si>
    <t>GAP - depends on whether depot nodes sit on PSPS-eligible (HFRA) circuits. Urban LA basin circuits are mostly not PSPS-eligible; foothill/Santa Clarita/Malibu circuits are. Needs SCE circuit map lookup per node.</t>
  </si>
  <si>
    <t>USGS 30-yr probability of M&gt;=6.7 in LA region (UCERF3)</t>
  </si>
  <si>
    <t>USGS FAQ (UCERF3): 60% in 30 years (M7: 46%; M7.5: 31%).</t>
  </si>
  <si>
    <t>Annual rate of M&gt;=6.7, LA region</t>
  </si>
  <si>
    <t>Poisson conversion: lambda = -ln(1-P)/T = 0.0305/yr.</t>
  </si>
  <si>
    <t>Human-driver share of VMT (= 1 - AV share)</t>
  </si>
  <si>
    <t>0.5-2 h, central ~1 h (Caltrans 2025 manual 'intermediate' incident: 30 min-2 h; SigAlert threshold &gt;= 30 min; I-710 big-rig study 58-76 min as a check).</t>
  </si>
  <si>
    <t>CHP SigAlert counts via Crosstown LA [S5]; Caltrans Traffic Ops Manual Ch.130 (2025) [S61]; I-710 Big Rig FSP evaluation 2005 (secondary) [S6].</t>
  </si>
  <si>
    <t>share</t>
  </si>
  <si>
    <t>Total VMT is held fixed: AVs replace human VMT. Rows 1-3 are multiplied by this; rows 4-6 by C9. CHANGE C9 ONLY.</t>
  </si>
  <si>
    <t>lambda = SigAlerts in LA County (&gt;=1 lane blocked &gt;= 30 min): 2,515 in 2018 (2,239 in 2016), 11 freeways only (I-5 344, US-101 286, I-405 284), MINUS the 210 fatal freeway crashes/yr (Caltrans 2022), which are assumed to always trigger a SigAlert and are counted in row 3 instead -&gt; 2,305 x human share. Row 2 therefore = non-fatal crash AND non-crash (stall, spill, debris, hazmat, police) blockages &gt;= 30 min on freeways. Arterial long blockages have no count and remain inside row 1 (gap). This is 'major lane blockage', not certified full closure; full-direction closures are a subset (Giuliano: 5% of freeway accidents close &gt;=3 lanes, 8% close 2 lanes). Arterials are not covered - SigAlerts are freeway events, so the area scaling assumes freeway density in the model area is the county average. SigAlerts already include NON-CRASH causes (stalled trucks, spilled loads, debris, police activity, flooding), so this row satisfies your request to include non-crash events at the mid-severity level. ~20% of LA County SigAlerts involve trucks (I-710 study: 82%).</t>
  </si>
  <si>
    <t>county-wide freeway SigAlerts / yr</t>
  </si>
  <si>
    <t>Collision share of freeway incidents (LA FSP assists, FY2020-21)</t>
  </si>
  <si>
    <t>Caltrans 2022 Crash Data on California State Highways - Los Angeles County totals</t>
  </si>
  <si>
    <t>UPDATED: Mauch &amp; Skabardonis 2022, California FSP MIS Annual Report FY2020-21, Los Angeles: 38,887 collision assists of 237,752 (16.4%); mechanical 14.0%, flat tire 16.5%, out of gas 6.5%, debris 2.0%, abandoned 2.4%, overheated 4.7%, other 37.5%. Replaces Giuliano 1989 (11% accidents of CHP-logged incidents, I-10, 1983-85), now kept as a lower-bound cross-check. Caveat: FSP covers patrolled freeway beats in service hours only.</t>
  </si>
  <si>
    <t>Segment</t>
  </si>
  <si>
    <t>Share of incidents with vehicle in a travel lane (LA FSP, FY2020-21)</t>
  </si>
  <si>
    <t>Road miles</t>
  </si>
  <si>
    <t>Travel (MVM)</t>
  </si>
  <si>
    <t>UPDATED: Mauch &amp; Skabardonis 2022, LA: 24,411 of 237,752 assists in lane (10.3%); right shoulder 77.4%, left shoulder 2.3%. Replaces Giuliano 1989 (18% closed &gt;= 1 lane). Range 0.05-0.18 (I-880 1995: 4-5%; Giuliano: 18%).</t>
  </si>
  <si>
    <t>Crashes total</t>
  </si>
  <si>
    <t>Rain days per year, downtown LA (&gt;= 0.01 in)</t>
  </si>
  <si>
    <t>PDO</t>
  </si>
  <si>
    <t>days/yr</t>
  </si>
  <si>
    <t>Injury</t>
  </si>
  <si>
    <t>NOAA 1991-2020 normals for Los Angeles (Downtown/USC) as tabulated on Wikipedia 'Climate of Los Angeles'; weather.com gives 36. Row 1b.</t>
  </si>
  <si>
    <t>Fatal</t>
  </si>
  <si>
    <t>LA County daily VMT, all public roads, 2022 (thousand veh-mi/day)</t>
  </si>
  <si>
    <t>Killed</t>
  </si>
  <si>
    <t>Injured</t>
  </si>
  <si>
    <t>thousand mi/day</t>
  </si>
  <si>
    <t>Crashes / MVM (=E/D)</t>
  </si>
  <si>
    <t>OTS Crash Rankings, Los Angeles County 2022 (DVMT field; Caltrans HPMS origin).</t>
  </si>
  <si>
    <t>Crashes / route-mile-yr (=E/C)</t>
  </si>
  <si>
    <t>LA County freeway annual VMT, 2022 (million veh-mi)</t>
  </si>
  <si>
    <t>Empirical</t>
  </si>
  <si>
    <t>MVM/yr</t>
  </si>
  <si>
    <t>Freeway (countywide)</t>
  </si>
  <si>
    <t>Definitional (Caltrans 2025 intermediate class) / Empirical (I-710 FSP 2005)</t>
  </si>
  <si>
    <t>Caltrans 2022 Crash Data on CA State Highways, LA County freeway segment travel.</t>
  </si>
  <si>
    <t>Freeway share of LA County VMT</t>
  </si>
  <si>
    <t>Equals 35,488 / 71,539 MVM = 0.50. Consistent with Tracking California ('nearly half of all VMT on Interstates, freeways and expressways'). Used to justify the freeway/arterial edge split.</t>
  </si>
  <si>
    <t>Number of edges in model network (ASSUMPTION)</t>
  </si>
  <si>
    <t>edges</t>
  </si>
  <si>
    <t>10 nodes, average degree 3 -&gt; 15 edges. Planar bounds: tree 9 edges (=C8-1), maximal planar 24 (=3*C8-6). Justification: US urbanized-area street networks average 2.76 streets per node (Boeing 2020, 497 urbanized areas); a depot-level abstraction with degree ~3 is consistent. Override with your actual topology.</t>
  </si>
  <si>
    <t>Freeway-dominated edges (ASSUMPTION)</t>
  </si>
  <si>
    <t>60% of edges. Freeways carry ~50% of county VMT (C36) but inter-depot trips (~5-10 mi in a 337 sq mi region) are longer than the average trip and freeway-weighted, so a &gt;50% share is assumed. Range 7-11.</t>
  </si>
  <si>
    <t>Non-freeway state hwy</t>
  </si>
  <si>
    <t>&gt;=3 edges</t>
  </si>
  <si>
    <t>Arterial-dominated edges</t>
  </si>
  <si>
    <t>high - major closure / diversion</t>
  </si>
  <si>
    <t>Remainder.</t>
  </si>
  <si>
    <t>All state highways, LA County</t>
  </si>
  <si>
    <t>Edges crossing the 1%-AEP (100-yr) SFHA (ASSUMPTION)</t>
  </si>
  <si>
    <t>Only 4.19 sq mi (0.09%) of LA County is mapped 1%-AEP SFHA (LA County All-Hazards Mitigation Plan 2020) because channels are engineered; but SFHAs are linear (LA / San Gabriel / Rio Hondo river corridors) so a route network of ~90 edge-miles plausibly crosses one. Range 0-2.</t>
  </si>
  <si>
    <t>Edges in the 0.2%-AEP (500-yr) zone (ASSUMPTION)</t>
  </si>
  <si>
    <t>243.32 sq mi (5.11%) of the county is in the 0.2%-AEP zone (same plan); 5% of 15 edges by area would be &lt;1, but the zone follows the same river/valley corridors that the freeways follow (I-710, I-605, I-5 along the rivers). Range 2-4.</t>
  </si>
  <si>
    <t>Edges through High / Very High FHSZ (WUI) (ASSUMPTION)</t>
  </si>
  <si>
    <t>Very High FHSZ = 386.06 sq mi LRA (8.11%) + 625.01 sq mi SRA (13.13%); High SRA 132.77 sq mi (2.79%) -&gt; 24% of county land (2018 CAL FIRE maps, per LA County PW PEIR and the 2020 Hazard Mitigation Plan). 2025 CAL FIRE maps added &gt;440,000 acres (~690 sq mi) -&gt; ~40%. 4/15 = 27%. If your region is the urban basin, use 1-2; if it includes foothill/Santa Clarita/Malibu depots, 4-6.</t>
  </si>
  <si>
    <t>High + Very High FHSZ share of LA County land (2018 maps)</t>
  </si>
  <si>
    <t>Statewide (reference)</t>
  </si>
  <si>
    <t>3.3 h (Caltrans FY2014-15 statewide major incidents: 3 h 17 min average; fatal 3.1-3.9 h, big rig 3.6-4.8 h, hazmat 3.6-5.6 h). Caltrans 2025 manual: major &gt; 2 h.</t>
  </si>
  <si>
    <t>FARS 2020-2024 LA County (user's slide 8; FARS API blocked from sandbox) [S7]; Caltrans Mile Marker Sep 2015 major-incident clearance [S60]; Caltrans Traffic Ops Manual Ch.130 (2025) [S61]; Caltrans quick-clearance PI 2010 (secondary) [S8]; OTS LA County 2022/2023 rankings [S9].</t>
  </si>
  <si>
    <t>lambda = fatal crashes/yr in LA County (952.5 avg 2020-24; ~2.6/day) x human share; these are excluded from rows 1 and 2, so the three tiers partition all incidents. Fatal crashes trigger multi-hour full closures for investigation and force diversion onto adjacent edges. Definitional caveat: many fatal crashes are on arterials and close 1 edge, not 3 - so this is an upper bound for '&gt;=3 edges'. If you need strictly 3+ edges, use fatal crashes on freeways only: 210 fatal crashes on LA County state freeways in 2022 (Caltrans [S2]). Cross-check: TIMS/OTS report 868 traffic deaths in LA County in 2022. Hourly distribution from your FARS slide (peak 20-23 h ~7%/h) can modulate this rate.</t>
  </si>
  <si>
    <t>See row above.</t>
  </si>
  <si>
    <t>county-wide fatal crashes / yr</t>
  </si>
  <si>
    <t>1%-AEP SFHA share of LA County land</t>
  </si>
  <si>
    <t>Giuliano (1989) I-10 incident characteristics (12-mile section, ADT 250-275k, 1983-85)</t>
  </si>
  <si>
    <t>4.19 sq mi / 4,760 sq mi total (LA County All-Hazards Mitigation Plan 2020, Sec. 4).</t>
  </si>
  <si>
    <t>Reported incidents per day (CHP logs, 22 days)</t>
  </si>
  <si>
    <t>0.2%-AEP zone share of LA County land</t>
  </si>
  <si>
    <t>Share accidents / disablements / other</t>
  </si>
  <si>
    <t>FARS Data</t>
  </si>
  <si>
    <t>11% / 80% / 9%</t>
  </si>
  <si>
    <t>243.32 sq mi (same source).</t>
  </si>
  <si>
    <t>LA County freeway fatal crashes per year (Caltrans 2022)</t>
  </si>
  <si>
    <t>Accidents per weekday / weekend day</t>
  </si>
  <si>
    <t>3.1 / 2.2</t>
  </si>
  <si>
    <t>Caltrans 2022 Crash Data on CA State Highways, LA County freeway segment: 210 fatal crashes (254 on all state highways). Subtracted from SigAlerts in row 2 so that fatal freeway crashes are counted once (row 3).</t>
  </si>
  <si>
    <t>Empirical (Caltrans FY2014-15 major-incident mean)</t>
  </si>
  <si>
    <t>PeMS CHP incidents, District 7, 2025 valid quarters (Q1+Q3+Q4)</t>
  </si>
  <si>
    <t>Share of incidents closing &gt;=1 lane</t>
  </si>
  <si>
    <t>Share of incidents closing &gt;=2 lanes</t>
  </si>
  <si>
    <t>Accidents: 0 / 1 / 2 / &gt;=3 lanes closed</t>
  </si>
  <si>
    <t>59% / 28% / 8% / 5%</t>
  </si>
  <si>
    <t>Mean duration, all incidents (min)</t>
  </si>
  <si>
    <t>SD duration (min)</t>
  </si>
  <si>
    <t>incidents / 274 days</t>
  </si>
  <si>
    <t>Caltrans PeMS CHP Incidents &gt; Summary, District 7 (LA + Ventura), all types and severities, user exports 23 Sep 2026. Q2 2025 excluded (PeMS shows 0 incidents on every freeway = data gap). See Working rows 64-73 and 96-120.</t>
  </si>
  <si>
    <t>Share cleared &lt;= 1 h / &gt; 2 h</t>
  </si>
  <si>
    <t>82% / 2%</t>
  </si>
  <si>
    <t>PeMS CHP incidents per million VMT (D7, 2025)</t>
  </si>
  <si>
    <t>Injury accident, lanes closed, day / night (min)</t>
  </si>
  <si>
    <t>54 / 66</t>
  </si>
  <si>
    <t>Traffic incident - AV</t>
  </si>
  <si>
    <t>Disablement, lanes closed (min)</t>
  </si>
  <si>
    <t>14-18</t>
  </si>
  <si>
    <t>low - reduced capacity</t>
  </si>
  <si>
    <t>Lane-blocking incidents &gt; 2 h, share of all incidents</t>
  </si>
  <si>
    <t>incidents / MVMT</t>
  </si>
  <si>
    <t>CAL FIRE incident archive - Los Angeles County entries (counts by size; pages omit some federal fires, e.g. Bobcat 2020)</t>
  </si>
  <si>
    <t>Equals 96,181 / 23,577 MVMT = 4.08 (Q3+Q4 only: 4.55). Per-freeway range ~2.9 (US-101) to ~5.9 (I-110).</t>
  </si>
  <si>
    <t>LA County CHP-logged freeway incidents per year (PeMS D7 rate x LA freeway VMT)</t>
  </si>
  <si>
    <t>Listed LA County incidents</t>
  </si>
  <si>
    <t>&gt;= 300 acres</t>
  </si>
  <si>
    <t>&gt;= 1,000 acres</t>
  </si>
  <si>
    <t>&gt;= 10,000 acres</t>
  </si>
  <si>
    <t>Closed a major road &gt;= 24 h (judgement)</t>
  </si>
  <si>
    <t>Named fires</t>
  </si>
  <si>
    <t>Lake 31,089; Ranch 2 4,237; Soledad 1,525; Rowher 648; Ridge 321; Johnson 290 (+ Bobcat 115k ac, USFS, not listed)</t>
  </si>
  <si>
    <t>incidents/yr</t>
  </si>
  <si>
    <t>Cross-check for row 1 freeway component: 4.08 x 35,488 MVMT = ~145,000/yr (Q3+Q4 rate: ~161,000). LOWER BOUND: CHP logs miss many shoulder stops that FSP finds on patrol (83% of LA FSP assists are self-found, Metro OIG 2020).</t>
  </si>
  <si>
    <t>PeMS CHP incidents per freeway centerline-mile per year (all monitored D7 routes)</t>
  </si>
  <si>
    <t>Palisades 1,202; Tumbleweed 868; North 650; Route 464; Pine 442; Hungry 340</t>
  </si>
  <si>
    <t>Route 5,208 (I-5 closed)</t>
  </si>
  <si>
    <t>incidents / mi-yr</t>
  </si>
  <si>
    <t>Average ~156; main LA freeways ~140-350 (Working rows 98-117). Multiply by your freeway-edge length for a per-edge rate (CHP-logged only).</t>
  </si>
  <si>
    <t>Agua 421</t>
  </si>
  <si>
    <t>Same as row 1 (0.25-0.4 h; LA FSP 15.1 min on scene); no AV-specific clearance data.</t>
  </si>
  <si>
    <t>Waymo Safety Impact Hub, data through Mar 2026 [S10]; Kusano et al. 2025, Traffic Injury Prevention (56.7M RO miles; LA 6.4M) [S11].</t>
  </si>
  <si>
    <t>Bridge 56,030; Post 15,563; Franklin 4,086; Apollo 800; Fork 301; West 300</t>
  </si>
  <si>
    <t>lambda_AV = lambda_human(row 1) x AV VMT share (5%) x AV/human crash-rate ratio (police-reported any crash: 2.1/4.68 = 0.449). Replaces the earlier '0.449 x row 1' (which implicitly assumed 100% AV VMT). Ratio is all-locations; LA-specific ratios exist only for injury/airbag/serious outcomes. Row 1 is now multiplied by (1 - AV share) so total VMT is conserved; the AV formula divides that back out to the full-fleet base. Because row 1 now includes non-crash disablements, applying the CRASH ratio here assumes AV mechanical/stall incidents scale the same way (Assumption); AV-specific stalls are in row 7. Waymo LA exposure: 51.8M rider-only miles through Mar 2026.</t>
  </si>
  <si>
    <t>county-wide AV crashes / yr (5% AV VMT)</t>
  </si>
  <si>
    <t>Assumption (= row 1)</t>
  </si>
  <si>
    <t>Palisades 23,448; Eaton 14,021; Hughes 10,425; Canyon 5,370; Kenneth 1,052; Hurst 799; Lidia 348</t>
  </si>
  <si>
    <t>Total / avg per yr</t>
  </si>
  <si>
    <t>Waymo Safety Impact Hub (data through March 2026) - Los Angeles</t>
  </si>
  <si>
    <t>Same as row 2 (0.5-2 h, central ~1 h).</t>
  </si>
  <si>
    <t>Outcome</t>
  </si>
  <si>
    <t>Waymo Safety Impact Hub - Los Angeles any-injury 0.91 vs 2.42 IPMM; airbag 0.27 vs 1.19 [S10]; Kusano et al. 2025 [S11].</t>
  </si>
  <si>
    <t>Waymo IPMM</t>
  </si>
  <si>
    <t>Human benchmark IPMM</t>
  </si>
  <si>
    <t>lambda_AV = lambda_human(row 2) x 5% x 0.376 (LA any-injury ratio, hub through Mar 2026, 51.8M LA miles). Replaces the 0.214 (0.6/2.80) ratio you flagged as not defensible. Alternative: LA airbag-deployment ratio 0.227. Caveat: injury-crash ratio is a proxy for lane-blocking-crash ratio; blockage caused by AV stalls (not crashes) is in row 7.</t>
  </si>
  <si>
    <t>county-wide AV SigAlert-class events / yr (5% AV VMT)</t>
  </si>
  <si>
    <t>Ratio (=C/D)</t>
  </si>
  <si>
    <t>% difference</t>
  </si>
  <si>
    <t>Any-injury-reported (LA)</t>
  </si>
  <si>
    <t>Assumption (= row 2)</t>
  </si>
  <si>
    <t>Airbag deployment, any vehicle (LA)</t>
  </si>
  <si>
    <t>Serious injury or worse (LA)</t>
  </si>
  <si>
    <t>Any-injury-reported (all locations)</t>
  </si>
  <si>
    <t>Serious injury or worse (all locations)</t>
  </si>
  <si>
    <t>LA rider-only miles through Mar 2026: 51.816M (total 220.6M). Benchmarks are police-reported human rates; any-injury benchmark includes a 32% under-reporting adjustment.</t>
  </si>
  <si>
    <t>Caltrans PeMS - CHP Incidents &gt; Summary, District 7 (LA + Ventura counties), all incident types and severities, 2025 by quarter (user exports, generated 23 Sep 2026)</t>
  </si>
  <si>
    <t>Quarter</t>
  </si>
  <si>
    <t>Days</t>
  </si>
  <si>
    <t>Incidents (all D7 freeways)</t>
  </si>
  <si>
    <t>VMT (million, both dirs)</t>
  </si>
  <si>
    <t>Inc/MVMT</t>
  </si>
  <si>
    <t>Same as row 3 (3.3 h) - possibly longer because AV crashes attract extended investigation (NHTSA SGO reporting).</t>
  </si>
  <si>
    <t>% observed</t>
  </si>
  <si>
    <t>Kusano et al. 2025 - LA serious injury+ -85% [39%, 99%] [S11]; Waymo Hub LA serious injury+: 0.00 vs 0.15 IPMM [S10].</t>
  </si>
  <si>
    <t>Status</t>
  </si>
  <si>
    <t>lambda_AV = lambda_human(row 3) x 5% x 0.15. 0.15 is the conservative (upper) LA serious-injury ratio; the hub's all-locations ratio is 0.01/0.23 = 0.04 and LA shows zero events in 51.8M miles. Wide confidence interval - treat as order of magnitude.</t>
  </si>
  <si>
    <t>county-wide AV fatal-class events / yr (5% AV VMT)</t>
  </si>
  <si>
    <t>Q1 (Jan-Mar)</t>
  </si>
  <si>
    <t>Assumption (= row 3)</t>
  </si>
  <si>
    <t>Traffic incident - AV: remote operating center / connectivity down -&gt; vehicle needs tow</t>
  </si>
  <si>
    <t>edge (many vehicles simultaneously)</t>
  </si>
  <si>
    <t>mid - stalled vehicles block lanes</t>
  </si>
  <si>
    <t>Used (looks ~30% low vs Q3/Q4 - possible partial feed gap)</t>
  </si>
  <si>
    <t>Q2 (Apr-Jun)</t>
  </si>
  <si>
    <t>EXCLUDED - 0 incidents on every freeway (data gap)</t>
  </si>
  <si>
    <t>Q3 (Jul-Sep)</t>
  </si>
  <si>
    <t>Used</t>
  </si>
  <si>
    <t>Q4 (Oct-Dec)</t>
  </si>
  <si>
    <t>Stalls: &gt;= 2 min by definition; most self-resolve (96%); manual retrievals ~1-2 h (Cruise 28 Jun 2022: 'a couple of hours' until staff moved cars). Service suspension: ~6 h to next day (Waymo 20 Dec 2025).</t>
  </si>
  <si>
    <t>Waymo CPUC filing 30 Jan 2026 on the 20 Dec 2025 SF outage [S12]; TechCrunch on Cruise 28 Jun 2022 stall [S13]; LA Times / SF Standard on Cruise 11 Aug 2023 Outside Lands stalls [S14]; Cruise vehicle-retrieval events via SF Standard [S15].</t>
  </si>
  <si>
    <t>SCENARIO ROW - no LA statistics exist. Documented fleet-wide stall events in SF: 28 Jun 2022 (Cruise, &gt;6 vehicles, ~2 h, server issue); 11 Aug 2023 (Cruise, ~10 vehicles, cellular bandwidth); 20 Dec 2025 (Waymo, 829 vehicles in outage area, 1,593 stops &gt;= 120 s in 11 h = 1.9 stops/vehicle, &gt;96% resolved autonomously, &lt;4% (~60) manual retrievals, 2 moved by first responders). That is ~3 events in 3.5 years for one city -&gt; lambda ~ 1/yr placeholder (Assumption). Baseline (non-event) retrievals: Cruise logged 177 'vehicle retrieval events' Jan-Jul 2023 with a ~300-400 vehicle fleet -&gt; ~0.8-1.0 retrievals per vehicle-year. Per event, assume 2-3% of the active fleet needs a tow (60/829 = 7% under extreme conditions; 6-10 vehicles of ~100-300 for Cruise). Correlate this row with power rows 9-12: the Dec 2025 stalls were caused by a grid outage darkening &gt;7,000 signals.</t>
  </si>
  <si>
    <t>fleet-wide connectivity/remote-assist disruptions / yr (city scale)</t>
  </si>
  <si>
    <t>2025 valid quarters (Q1+Q3+Q4)</t>
  </si>
  <si>
    <t>Empirical (sparse: 3 SF events)</t>
  </si>
  <si>
    <t>7b</t>
  </si>
  <si>
    <t>Traffic incident - AV: no battery (state-of-charge depletion) -&gt; vehicle needs tow</t>
  </si>
  <si>
    <t>low - single vehicle stalled</t>
  </si>
  <si>
    <t>Primary (Assumptions C47-C48)</t>
  </si>
  <si>
    <t>Sensitivity: Q3+Q4 only</t>
  </si>
  <si>
    <t>If Q1 is under-counted</t>
  </si>
  <si>
    <t>Annualized D7 incidents (valid quarters x 365/days)</t>
  </si>
  <si>
    <t>Tow response: FSP average wait 7 min on LA freeways; AAA typical 30-60 min. Assume 0.5-1 h lane occupancy if stalled in lane.</t>
  </si>
  <si>
    <t>TIME / AAA 2023 EV roadside data [S16]; AAA 2024 (215,000 EV calls, 0.8% of events) [S17]; Metro FSP [S18].</t>
  </si>
  <si>
    <t>Caveats: PeMS VMT covers monitored mainline only and is partly imputed (16-23% observed); counts include advisories, police, weather and congestion entries, not only capacity-reducing incidents; D7 includes Ventura County, so the rate (not the count) is applied to LA County freeway VMT. Per-freeway detail: rows 96-118.</t>
  </si>
  <si>
    <t>GAP for a managed robotaxi fleet. Only consumer-EV data exist: AAA served 160,000 EVs in 2023 (0.5% of 32M roadside events); 4% of EV calls = ran out of charge -&gt; ~6,400 out-of-charge events/yr nationally (~0.002 per EV-year assuming ~3M EVs). For a fleet with depot charging and SOC-aware dispatch this is better modeled as a CONSEQUENCE of depot failure (rows 9-12: depot dark -&gt; vehicles below SOC threshold strand), not an independent hazard. Suggest: P(strand | depot outage &gt; 4 h) x fleet share, or omit as an independent row.</t>
  </si>
  <si>
    <t>per vehicle-year (consumer EV proxy only)</t>
  </si>
  <si>
    <t>California FSP MIS Annual Report FY2020-21 (Mauch &amp; Skabardonis 2022) - Los Angeles County</t>
  </si>
  <si>
    <t>Problem type</t>
  </si>
  <si>
    <t>LA assists</t>
  </si>
  <si>
    <t>LA share</t>
  </si>
  <si>
    <t>LA avg on-scene min</t>
  </si>
  <si>
    <t>Statewide avg min</t>
  </si>
  <si>
    <t>Collision</t>
  </si>
  <si>
    <t>GAP</t>
  </si>
  <si>
    <t>Flat tire</t>
  </si>
  <si>
    <t>Empirical (FSP/AAA response times)</t>
  </si>
  <si>
    <t>Mechanical</t>
  </si>
  <si>
    <t>Out of gas</t>
  </si>
  <si>
    <t>Traffic incident - AV: amplifier - obstruction of emergency response</t>
  </si>
  <si>
    <t>edge (conditional on emergency)</t>
  </si>
  <si>
    <t>amplifier - delays clearance of other hazards</t>
  </si>
  <si>
    <t>Over heated</t>
  </si>
  <si>
    <t>Abandoned</t>
  </si>
  <si>
    <t>Obstruction 0.5-30 min; typical 'several minutes' (documented: 1 min, &gt;2 min, &gt;8 min, 30 min). Use +5 / +15 / +30 min added to the affected hazard's duration.</t>
  </si>
  <si>
    <t>Debris removed</t>
  </si>
  <si>
    <t>Mission Local - 55 SFFD 'Autonomous Vehicle Incident' reports as of 8 Aug 2023 [S19]; SFMTA CPUC status conference 7 Aug 2023 (~600 reported AV incidents since launch; 'likely a fraction') [S20]; SF Standard fleet sizes (Cruise ~300 night/100 day, Waymo ~250) [S15].</t>
  </si>
  <si>
    <t>Empirical but SF-specific and an undercount: 55 SFFD reports in 220 days (1 Jan-8 Aug 2023) = ~91/yr with ~550 driverless vehicles -&gt; ~0.17 first-responder-interference incidents per vehicle-year. Scale to your fleet: lambda = 0.17 x (AV fleet size in model). Not area-scaled (fleet-based). Waymo's LA fleet is ~700-900 vehicles (2025-26), so LA-wide ~120-150/yr if SF rates hold; Waymo-only rates are likely lower than the 2023 Cruise-heavy mix. Model as a conditional multiplier on clearance time for rows 1-3, 9-10, 13-14 when an AV is present at the scene, not as an independent failure.</t>
  </si>
  <si>
    <t>incidents / yr per ~550-vehicle fleet (SF 2023)</t>
  </si>
  <si>
    <t>Other (refused, info, unable to locate, etc.)</t>
  </si>
  <si>
    <t>Empirical (SFFD report narratives)</t>
  </si>
  <si>
    <t>Location: in travel lane 24,411 (10.3%); right shoulder 184,085 (77.4%); left shoulder 5,453 (2.3%). Big rigs 12,188 assists (5.1%), 11.5 min on scene.</t>
  </si>
  <si>
    <t>Power outage - unplanned (equipment, weather, third party), excluding major event days</t>
  </si>
  <si>
    <t>node</t>
  </si>
  <si>
    <t>low - depot dark</t>
  </si>
  <si>
    <t>Caltrans Mile Marker (Sep 2015) - statewide major incidents (CHP + Caltrans respond, &gt;= 1 lane closed), FY2014-15 average clearance (h)</t>
  </si>
  <si>
    <t>Big rig</t>
  </si>
  <si>
    <t>Hazmat</t>
  </si>
  <si>
    <t>Other</t>
  </si>
  <si>
    <t>FY15 Q1</t>
  </si>
  <si>
    <t>FY15 Q2</t>
  </si>
  <si>
    <t>FY15 Q3</t>
  </si>
  <si>
    <t>1.8 h (CAIDI 107 min, 10-yr avg 2016-2025; 2024: 111 min; 2025: 121 min).</t>
  </si>
  <si>
    <t>SCE 2025 Annual Electric Reliability Report, Tables 1 &amp; 3 (SAIFI/CAIDI unplanned, MED excluded) [S21]; SCE 2024 report [S22].</t>
  </si>
  <si>
    <t>FY15 Q4</t>
  </si>
  <si>
    <t>Per-customer index -&gt; already a per-node rate; no area scaling. SAIFI excl. MED: 0.90/customer-yr (10-yr avg 2016-2025 = 0.904); 2023 0.937, 2024 0.901, 2025 0.963. Your draft used 1.4 (= 2025 SAIFI INCLUDING MEDs) - that double-counts row 10. District values for LA County SCE districts (Table 6 of the report) range roughly 0.5-1.5; use them if node locations are fixed. System-level rate for 10 independent nodes = 10 x 0.90 = 9.0 depot outages/yr. Note LADWP serves the City of LA (different reliability; not covered here) - GAP if any node is inside LADWP territory.</t>
  </si>
  <si>
    <t>interruptions per customer-year (per node)</t>
  </si>
  <si>
    <t>none (per-node index); system = x10 nodes</t>
  </si>
  <si>
    <t>Apr-Jun 2015: 280 major incidents, average clearance 3 h 17 min; ~30% cleared &lt; 90 min (goal 50%).</t>
  </si>
  <si>
    <t>Empirical (SCE CAIDI excl. MED)</t>
  </si>
  <si>
    <t>per node (x1)</t>
  </si>
  <si>
    <t>PeMS D7 2025 (Q1+Q3+Q4, 274 days) by freeway, both directions combined - for per-edge rates</t>
  </si>
  <si>
    <t>Power outage - major event day (storms, windstorm-PSPS combinations, substation loss)</t>
  </si>
  <si>
    <t>node (often multi-node)</t>
  </si>
  <si>
    <t>Freeway</t>
  </si>
  <si>
    <t>mid - depot dark for many hours</t>
  </si>
  <si>
    <t>Centerline mi (in D7)</t>
  </si>
  <si>
    <t>Incidents</t>
  </si>
  <si>
    <t>VMT (million)</t>
  </si>
  <si>
    <t>Inc per mi-yr (x365/274)</t>
  </si>
  <si>
    <t>Q1 / Q3 / Q4 incidents</t>
  </si>
  <si>
    <t>I5</t>
  </si>
  <si>
    <t>8.6 h mean (MED-attributable CAIDI = MED SAIDI / MED SAIFI = 94.8 min / 0.183 = 517 min, 10-yr avg 2016-2025); 2023: 202 min; 2024: 652 min; 2025: 1,004 min. Heavy tail: on 7 Jan 2025, 52% of 731k affected customers were out &lt; 1 h but 19% &gt; 1 day and 2.5% &gt;= 7 days.</t>
  </si>
  <si>
    <t>SCE 2025 Annual Electric Reliability Report Tables 1, 2, 17 [S21]; SCE 2024 report Table 2 (5 MEDs, 4 PSPS-driven) [S22].</t>
  </si>
  <si>
    <t>MED-attributable per-customer rate = SAIFI(incl. MED) - SAIFI(excl. MED) = 1.088 - 0.904 = 0.18 interruptions/customer-yr (10-yr avg of Table 3; SCE Table 1 rounding gives 1.09 - 0.90 = 0.19). Year-to-year: 2023 0.099; 2024 0.089; 2025 0.427 (21 MEDs, 15 in January 2025 windstorm/fires). Your draft's lambda = 6 was the COUNT of MED days (2023), not a per-node rate - MED days are system-wide days, most of which do not touch any given customer. MED outages are spatially correlated: model as a system event with rate ~5-21 MED days/yr and P(node affected | MED) ~ 0.18/(MED days) ~ 1-4%. PSPS days are counted here when they exceed the MED threshold (T_MED = 2.04 min daily SAIDI in 2025), so avoid double counting with row 12.</t>
  </si>
  <si>
    <t>MED-attributable interruptions per customer-year (per node)</t>
  </si>
  <si>
    <t>3055/4509/5118</t>
  </si>
  <si>
    <t>I405</t>
  </si>
  <si>
    <t>Derived (SCE SAIDI/SAIFI differences; Table 17 distribution)</t>
  </si>
  <si>
    <t>2828/3925/4392</t>
  </si>
  <si>
    <t>Power outage - planned maintenance</t>
  </si>
  <si>
    <t>planned - depot dark, schedulable</t>
  </si>
  <si>
    <t>I10</t>
  </si>
  <si>
    <t>2567/3781/4109</t>
  </si>
  <si>
    <t>US101</t>
  </si>
  <si>
    <t>2260/2927/3586</t>
  </si>
  <si>
    <t>I110</t>
  </si>
  <si>
    <t>5.0 h mean (planned CAIDI: 2023 330 min; 2024 247 min; 2025 323 min). Customers notified in advance.</t>
  </si>
  <si>
    <t>SCE 2025 Annual Electric Reliability Report Table 7 (planned + unplanned) minus Table 3 (unplanned) [S21].</t>
  </si>
  <si>
    <t>Derived from SCE's own indices: planned SAIFI = 0.31/customer-yr (avg 2023-25: 0.332, 0.349, 0.253); planned SAIDI ~82-110 min/yr. Replaces the qmerit blog value (1/yr). SCE notes 2022-2025 planned indices use a new meter-data method and are not comparable with earlier years. Planned outages are announced and typically daytime weekday - consider scheduling them deterministically rather than as Poisson arrivals.</t>
  </si>
  <si>
    <t>planned interruptions per customer-year (per node)</t>
  </si>
  <si>
    <t>2166/2818/3332</t>
  </si>
  <si>
    <t>I210</t>
  </si>
  <si>
    <t>Derived (planned SAIDI / planned SAIFI)</t>
  </si>
  <si>
    <t>1868/2650/3028</t>
  </si>
  <si>
    <t>Power outage - PSPS (public safety power shutoff)</t>
  </si>
  <si>
    <t>&gt;=3 nodes</t>
  </si>
  <si>
    <t>SR60</t>
  </si>
  <si>
    <t>high - multiple depots dark &gt;= 1 day</t>
  </si>
  <si>
    <t>1343/2038/2178</t>
  </si>
  <si>
    <t>I605</t>
  </si>
  <si>
    <t>1336/2039/2123</t>
  </si>
  <si>
    <t>I710</t>
  </si>
  <si>
    <t>1314/1657/1864</t>
  </si>
  <si>
    <t>I105</t>
  </si>
  <si>
    <t>943/1509/1652</t>
  </si>
  <si>
    <t>SR14</t>
  </si>
  <si>
    <t>24-48 h typical; restoration &lt;= 6-8 h after the weather 'period of concern' ends (SCE); Jan 2025 events lasted several days for some circuits.</t>
  </si>
  <si>
    <t>SCE 2026 PSPS Action Plan (events/yr: 12 in 2020, 8 in 2023, 20 in 2024, 14 in 2025; restoration intervals) [S23]; CPUC PSPS post-event reports 2024 (LA County events) [S24]; SCE 2025 reliability report Table 17 (Jan 2025 duration distribution) [S21].</t>
  </si>
  <si>
    <t>lambda = PSPS de-energization events touching LA County ~5/yr (2024 count; SCE system-wide 8-20/yr). G = lambda/8760 x q where q = P(&gt;=3 of your 10 nodes are on de-energized circuits | event). q is a GAP: only HFRA circuits (foothills, Santa Clarita, Malibu, Antelope Valley edges) are PSPS-eligible; urban basin depots have q ~ 0. Look each node up on SCE's PSPS circuit map. Oct 2024 event de-energized 11,381 LA County customers; Jan 7-9 2025 event affected ~731k SCE customers (weather + PSPS) - the tail case. Do not also count these days in row 10.</t>
  </si>
  <si>
    <t>PSPS events touching LA County / yr x q</t>
  </si>
  <si>
    <t>x q (P(&gt;=3 nodes | PSPS event)) - GAP</t>
  </si>
  <si>
    <t>865/1391/1414</t>
  </si>
  <si>
    <t>SR91</t>
  </si>
  <si>
    <t>Empirical (rate) / GAP (q)</t>
  </si>
  <si>
    <t>Empirical (SCE action plan; Table 17)</t>
  </si>
  <si>
    <t>Wildfire - &gt;= 1 edge closed &gt;= 24 h</t>
  </si>
  <si>
    <t>786/1199/1226</t>
  </si>
  <si>
    <t>mid - edge closed for days to months</t>
  </si>
  <si>
    <t>SR118</t>
  </si>
  <si>
    <t>740/929/1265</t>
  </si>
  <si>
    <t>SR134</t>
  </si>
  <si>
    <t>628/762/970</t>
  </si>
  <si>
    <t>SR57</t>
  </si>
  <si>
    <t>466/795/809</t>
  </si>
  <si>
    <t>SR170</t>
  </si>
  <si>
    <t>1 day to 4+ months; median ~1-2 weeks. Examples: Route Fire 2022 I-5 full closure ~1 day then lane closures ~2 weeks; Bridge Fire 2024 SR-39/SR-2 weeks; Palisades 2025 PCH closed 7 Jan-23 May 2025 (~4.5 months; partial Feb).</t>
  </si>
  <si>
    <t>CAL FIRE incident archives 2020-2025, LA County entries [S25]; Caltrans D7 Route Fire releases [S26]; AP/ABC7 Hughes Fire I-5 closure [S27]; Fox Weather / Governor's office PCH reopening [S28]; LA Times Bobcat Fire SR-2 closure [S29]; Caltrans emergency road closures dataset (user's source) [S30].</t>
  </si>
  <si>
    <t>Derived count of LA County fires that closed a state highway or major arterial &gt;= 24 h, 2020-2025: Bobcat 2020 (SR-2, SR-39, weeks), Lake 2020 (Lake Hughes Rd), Route 2022 (I-5), Bridge 2024 (SR-39/SR-2), Franklin 2024 (PCH, days), Palisades 2025 (PCH, months), Eaton 2025 (Altadena arterials, weeks), Hughes 2025 excluded (I-5 closed only hours) -&gt; ~8 in 6 yr = 1.3/yr. Upper bound: LA County fires &gt;= 1,000 acres 2020-25 = 13 (2.2/yr); &gt;= 300 acres ~27 (4.5/yr). CAL FIRE pages omit some federal-responsibility fires (e.g., Bobcat), so counts are floors. Exposure caveat: fire-closure risk is concentrated on WUI/mountain edges (SR-2, SR-39, I-5 Newhall/Castaic, PCH, SR-14); an urban-basin edge has near-zero burn probability. Use FRAP burn-probability rasters per edge instead of uniform area scaling if edges are fixed.</t>
  </si>
  <si>
    <t>county-wide qualifying fires / yr (2020-2025)</t>
  </si>
  <si>
    <t>255/346/429</t>
  </si>
  <si>
    <t>SR71</t>
  </si>
  <si>
    <t>Empirical (news/Caltrans closure records)</t>
  </si>
  <si>
    <t>122/204/218</t>
  </si>
  <si>
    <t>SR126</t>
  </si>
  <si>
    <t>103/149/176</t>
  </si>
  <si>
    <t>SR23</t>
  </si>
  <si>
    <t>100/140/132</t>
  </si>
  <si>
    <t>SR90</t>
  </si>
  <si>
    <t>Wildfire - &gt;= 3 edges closed simultaneously (Palisades / Saddleridge level)</t>
  </si>
  <si>
    <t>high - regional diversion, evacuation traffic</t>
  </si>
  <si>
    <t>57/71/102</t>
  </si>
  <si>
    <t>All other monitored D7 routes</t>
  </si>
  <si>
    <t>Total, monitored D7 routes</t>
  </si>
  <si>
    <t>Freeway closures: hours to ~1-2 days (Saddleridge 2019: I-5, SR-14, I-210 closed overnight; most reopened next day). Arterials/PCH: weeks to months. Evacuation surge: ~1-3 days.</t>
  </si>
  <si>
    <t>LA Times 11 Oct 2019 Saddleridge freeway closures [S31]; CAL FIRE top-20 destructive fires (user's source) [S32]; CAL FIRE 2025 incidents (Palisades, Eaton, Hughes) [S25]; Zehra &amp; Wong 2024 systematic review (81 CA highway-damaging fires 2015-2020) [S33].</t>
  </si>
  <si>
    <t>Derived: county-level fire events since 2000 that closed &gt;= 3 major highway edges at once: Oct 2007 (Buckweed/Ranch/Magic: I-5, SR-14, SR-126 - NOT re-verified here), Sayre 2008 (I-5/SR-14/SR-210), Woolsey 2018 (US-101, PCH, canyon roads), Saddleridge 2019 (I-5, SR-14, I-210, SR-118 connectors - verified), Palisades/Eaton Jan 2025 -&gt; ~5 in 26 yr = 0.19/yr (range 0.1-0.3). Your draft's 0.6/yr from the top-20 destructive list is not reproducible: that list has 6 LA County entries over 1961-2025 (~0.09/yr). These events coincide with Santa Ana wind days (Oct-Jan) and with PSPS (row 12) and MED (row 10) - model as a common-cause 'wind event' rather than independent hazards.</t>
  </si>
  <si>
    <t>county-wide multi-edge fire events / yr (2000-2025)</t>
  </si>
  <si>
    <t>Empirical (news closure records)</t>
  </si>
  <si>
    <t>Flood - edge in 100-yr floodplain impassable</t>
  </si>
  <si>
    <t>mid - edge closed</t>
  </si>
  <si>
    <t>Per-mile rates for the main LA freeways run ~140-350 incidents/mi-yr (I-110 highest); the 'all routes' average is diluted by long, low-volume rural routes (SR-126, SR-23, SR-2).</t>
  </si>
  <si>
    <t>Hours to 1-2 days (flash-flood / debris on roadway); longer if pavement or bridge damaged.</t>
  </si>
  <si>
    <t>FEMA IS-0273 / flood-zone AEP definitions (user's footnotes) [S34]; Caltrans District 7 emergency closures (user's source) [S30].</t>
  </si>
  <si>
    <t>Kept your logic: P(edge inundated) = 1% - 0.2% = 0.8%/yr applies ONLY to edges inside the 1%-AEP SFHA (Zone A/AE/AO), not to all edges - so 'after scaling' should be x (number of edges in SFHA), not x area ratio. GAP: an empirical LA County count of weather-related road closures per year was not obtained (NCEI Storm Events database 'Flash Flood' events for LA County, or Caltrans LCS emergency-closure history, would give it). Note LA's engineered channels mean most urban flooding is local ponding (hours), not floodplain inundation.</t>
  </si>
  <si>
    <t>per SFHA edge-year</t>
  </si>
  <si>
    <t>PEMS Def</t>
  </si>
  <si>
    <t>Flood - 500-yr regional event, &gt;= 3 edges impassable</t>
  </si>
  <si>
    <t>high</t>
  </si>
  <si>
    <t>1-3 days (regional storm; e.g., Feb 2024 atmospheric river closed multiple LA canyon roads and I-5 Grapevine for ~1 day).</t>
  </si>
  <si>
    <t>FEMA 0.2%-AEP definition (user's footnote) [S34].</t>
  </si>
  <si>
    <t>Kept your value. 0.2%/yr is the exceedance probability for the 500-yr flood at a point; the probability that &gt;= 3 specific edges are simultaneously closed is a joint event that needs edge-level flood-zone exposure. GAP: no LA County-specific multi-road flood closure frequency found; suggest NCEI Storm Events (LA County, 'Flood' + 'Flash Flood' events 2000-2025) as the empirical base.</t>
  </si>
  <si>
    <t>per region-year (500-yr AEP)</t>
  </si>
  <si>
    <t>Earthquake M &gt;= 6.7, LA region - &gt;= 3 edges damaged</t>
  </si>
  <si>
    <t>high - weeks to months</t>
  </si>
  <si>
    <t>Weeks to months for damaged freeways: Northridge 1994 I-10 closed 17 Jan-12 Apr 1994 (84 days; 66-day reconstruction); I-5/SR-14 interchange rebuilt over months; SR-118 and I-5 Gavin Canyon bridges also collapsed.</t>
  </si>
  <si>
    <t>USGS UCERF3 FAQ (60% in 30 yr for M &gt;= 6.7, LA region) [S39]; Northridge transportation study (ROSAP DOT-521) [S40]; Wikipedia / EScholarship Northridge economic impacts (freeway closures) [S41].</t>
  </si>
  <si>
    <t>lambda = -ln(1-0.60)/30 = 0.0305/yr is REGIONAL (whole LA region), not per model area, so no area scaling. P(&gt;= 3 edges damaged | M &gt;= 6.7) depends on epicentre distance and bridge fragility: Northridge (M6.7) damaged 4 major freeways within ~30 km. For a 10-node network spanning 337 sq mi, treating P(&gt;= 3 edges | event) ~ 0.5-1.0 is defensible only if the network is near the rupture; otherwise use HAZUS bridge fragility per edge. Aftershock-driven re-closures and inspection closures (hours-days) affect all edges immediately after the event even without damage.</t>
  </si>
  <si>
    <t>regional events / yr (M &gt;= 6.7)</t>
  </si>
  <si>
    <t>none (regional rate; all nodes exposed)</t>
  </si>
  <si>
    <t>Empirical (rate) / Assumption (P(&gt;=3 edges))</t>
  </si>
  <si>
    <t>Empirical (Northridge 1994)</t>
  </si>
  <si>
    <t>AV-share sensitivity: change Assumptions!C9 (AV share of VMT). Cells that move: F6 (row 1), F9 (row 2), F10 (row 3) via C30 = 1 - C9; F11, F12, F13 (rows 4-6) directly; and every G, H, N, R in those six rows. Nothing else depends on C9.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</si>
</sst>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0.0000"/>
    <numFmt numFmtId="166" formatCode="0.0"/>
    <numFmt numFmtId="167" formatCode="#,##0.000"/>
    <numFmt numFmtId="168" formatCode="0.0%"/>
    <numFmt numFmtId="169" formatCode="0.00000"/>
    <numFmt numFmtId="170" formatCode="#,##0.0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9.0"/>
      <color rgb="FF7A7974"/>
      <name val="Arial"/>
    </font>
    <font>
      <sz val="10.0"/>
      <color theme="1"/>
      <name val="Arial"/>
    </font>
    <font>
      <b/>
      <color rgb="FFFFFFFF"/>
      <name val="Calibri"/>
      <scheme val="minor"/>
    </font>
    <font>
      <sz val="11.0"/>
      <color theme="1"/>
      <name val="Calibri"/>
    </font>
    <font>
      <u/>
      <sz val="10.0"/>
      <color rgb="FF0000FF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B474D"/>
        <bgColor rgb="FF1B474D"/>
      </patternFill>
    </fill>
    <fill>
      <patternFill patternType="solid">
        <fgColor rgb="FFFFF2CC"/>
        <bgColor rgb="FFFFF2CC"/>
      </patternFill>
    </fill>
    <fill>
      <patternFill patternType="solid">
        <fgColor rgb="FFDDEBD4"/>
        <bgColor rgb="FFDDEBD4"/>
      </patternFill>
    </fill>
    <fill>
      <patternFill patternType="solid">
        <fgColor rgb="FFE4E1F5"/>
        <bgColor rgb="FFE4E1F5"/>
      </patternFill>
    </fill>
    <fill>
      <patternFill patternType="solid">
        <fgColor rgb="FFF8D7C4"/>
        <bgColor rgb="FFF8D7C4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</fills>
  <borders count="4">
    <border/>
    <border>
      <left/>
      <right/>
      <top/>
      <bottom/>
    </border>
    <border>
      <bottom style="thin">
        <color rgb="FFD4D1CA"/>
      </bottom>
    </border>
    <border>
      <left/>
      <right/>
      <top/>
      <bottom style="thin">
        <color rgb="FFD4D1C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shrinkToFit="0" vertical="bottom" wrapText="0"/>
    </xf>
    <xf quotePrefix="1" borderId="0" fillId="0" fontId="4" numFmtId="0" xfId="0" applyAlignment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righ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readingOrder="0"/>
    </xf>
    <xf borderId="0" fillId="0" fontId="7" numFmtId="164" xfId="0" applyAlignment="1" applyFont="1" applyNumberFormat="1">
      <alignment shrinkToFit="0" vertical="bottom" wrapText="0"/>
    </xf>
    <xf borderId="2" fillId="0" fontId="5" numFmtId="165" xfId="0" applyAlignment="1" applyBorder="1" applyFont="1" applyNumberFormat="1">
      <alignment horizontal="right" shrinkToFit="0" vertical="top" wrapText="1"/>
    </xf>
    <xf borderId="0" fillId="0" fontId="7" numFmtId="166" xfId="0" applyAlignment="1" applyFont="1" applyNumberFormat="1">
      <alignment shrinkToFit="0" vertical="bottom" wrapText="0"/>
    </xf>
    <xf borderId="2" fillId="0" fontId="8" numFmtId="0" xfId="0" applyAlignment="1" applyBorder="1" applyFont="1">
      <alignment readingOrder="0" shrinkToFit="0" vertical="top" wrapText="1"/>
    </xf>
    <xf borderId="2" fillId="0" fontId="5" numFmtId="164" xfId="0" applyAlignment="1" applyBorder="1" applyFont="1" applyNumberFormat="1">
      <alignment horizontal="right" shrinkToFit="0" vertical="top" wrapText="1"/>
    </xf>
    <xf borderId="2" fillId="0" fontId="5" numFmtId="167" xfId="0" applyAlignment="1" applyBorder="1" applyFont="1" applyNumberFormat="1">
      <alignment horizontal="right" shrinkToFit="0" vertical="top" wrapText="1"/>
    </xf>
    <xf borderId="2" fillId="0" fontId="5" numFmtId="11" xfId="0" applyAlignment="1" applyBorder="1" applyFont="1" applyNumberFormat="1">
      <alignment horizontal="right" shrinkToFit="0" vertical="top" wrapText="1"/>
    </xf>
    <xf borderId="3" fillId="3" fontId="5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bottom" wrapText="0"/>
    </xf>
    <xf borderId="3" fillId="4" fontId="5" numFmtId="0" xfId="0" applyAlignment="1" applyBorder="1" applyFill="1" applyFont="1">
      <alignment shrinkToFit="0" vertical="top" wrapText="1"/>
    </xf>
    <xf borderId="0" fillId="0" fontId="7" numFmtId="3" xfId="0" applyAlignment="1" applyFont="1" applyNumberFormat="1">
      <alignment shrinkToFit="0" vertical="bottom" wrapText="0"/>
    </xf>
    <xf borderId="2" fillId="0" fontId="5" numFmtId="166" xfId="0" applyAlignment="1" applyBorder="1" applyFont="1" applyNumberFormat="1">
      <alignment horizontal="right" shrinkToFit="0" vertical="top" wrapText="1"/>
    </xf>
    <xf borderId="0" fillId="0" fontId="7" numFmtId="168" xfId="0" applyAlignment="1" applyFont="1" applyNumberFormat="1">
      <alignment shrinkToFit="0" vertical="bottom" wrapText="0"/>
    </xf>
    <xf borderId="2" fillId="0" fontId="5" numFmtId="169" xfId="0" applyAlignment="1" applyBorder="1" applyFont="1" applyNumberFormat="1">
      <alignment horizontal="right" shrinkToFit="0" vertical="top" wrapText="1"/>
    </xf>
    <xf borderId="0" fillId="0" fontId="7" numFmtId="2" xfId="0" applyAlignment="1" applyFont="1" applyNumberFormat="1">
      <alignment shrinkToFit="0" vertical="bottom" wrapText="0"/>
    </xf>
    <xf borderId="3" fillId="5" fontId="5" numFmtId="0" xfId="0" applyAlignment="1" applyBorder="1" applyFill="1" applyFont="1">
      <alignment readingOrder="0" shrinkToFit="0" vertical="top" wrapText="1"/>
    </xf>
    <xf borderId="2" fillId="0" fontId="5" numFmtId="3" xfId="0" applyAlignment="1" applyBorder="1" applyFont="1" applyNumberFormat="1">
      <alignment horizontal="right" shrinkToFit="0" vertical="top" wrapText="1"/>
    </xf>
    <xf borderId="0" fillId="0" fontId="9" numFmtId="0" xfId="0" applyAlignment="1" applyFont="1">
      <alignment readingOrder="0"/>
    </xf>
    <xf borderId="2" fillId="0" fontId="5" numFmtId="2" xfId="0" applyAlignment="1" applyBorder="1" applyFont="1" applyNumberFormat="1">
      <alignment horizontal="right" shrinkToFit="0" vertical="top" wrapText="1"/>
    </xf>
    <xf borderId="0" fillId="0" fontId="5" numFmtId="3" xfId="0" applyAlignment="1" applyFont="1" applyNumberFormat="1">
      <alignment shrinkToFit="0" vertical="bottom" wrapText="0"/>
    </xf>
    <xf borderId="0" fillId="0" fontId="5" numFmtId="170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3" fillId="6" fontId="5" numFmtId="0" xfId="0" applyAlignment="1" applyBorder="1" applyFill="1" applyFont="1">
      <alignment shrinkToFit="0" vertical="top" wrapText="1"/>
    </xf>
    <xf borderId="2" fillId="7" fontId="5" numFmtId="167" xfId="0" applyAlignment="1" applyBorder="1" applyFill="1" applyFont="1" applyNumberFormat="1">
      <alignment horizontal="right" shrinkToFit="0" vertical="top" wrapText="1"/>
    </xf>
    <xf borderId="2" fillId="7" fontId="5" numFmtId="11" xfId="0" applyAlignment="1" applyBorder="1" applyFill="1" applyFont="1" applyNumberFormat="1">
      <alignment horizontal="right" shrinkToFit="0" vertical="top" wrapText="1"/>
    </xf>
    <xf borderId="0" fillId="0" fontId="5" numFmtId="168" xfId="0" applyAlignment="1" applyFont="1" applyNumberFormat="1">
      <alignment shrinkToFit="0" vertical="bottom" wrapText="0"/>
    </xf>
    <xf borderId="3" fillId="8" fontId="5" numFmtId="0" xfId="0" applyAlignment="1" applyBorder="1" applyFill="1" applyFont="1">
      <alignment shrinkToFit="0" vertical="top" wrapText="1"/>
    </xf>
    <xf borderId="0" fillId="0" fontId="5" numFmtId="1" xfId="0" applyAlignment="1" applyFont="1" applyNumberFormat="1">
      <alignment shrinkToFit="0" vertical="bottom" wrapText="0"/>
    </xf>
    <xf borderId="0" fillId="0" fontId="9" numFmtId="0" xfId="0" applyFont="1"/>
    <xf borderId="0" fillId="0" fontId="7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tro.net/riding/fsp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30.0"/>
    <col customWidth="1" min="4" max="4" width="14.0"/>
    <col customWidth="1" min="5" max="5" width="18.0"/>
    <col customWidth="1" min="6" max="6" width="14.0"/>
    <col customWidth="1" min="7" max="8" width="13.0"/>
    <col customWidth="1" min="9" max="9" width="38.0"/>
    <col customWidth="1" min="10" max="10" width="46.0"/>
    <col customWidth="1" min="11" max="11" width="90.0"/>
    <col customWidth="1" min="12" max="12" width="24.0"/>
    <col customWidth="1" min="13" max="13" width="22.0"/>
    <col customWidth="1" min="14" max="14" width="14.0"/>
    <col customWidth="1" min="15" max="15" width="16.0"/>
    <col customWidth="1" min="16" max="16" width="26.0"/>
    <col customWidth="1" min="17" max="18" width="16.0"/>
    <col customWidth="1" min="19" max="19" width="8.71"/>
    <col customWidth="1" min="20" max="20" width="9.86"/>
    <col customWidth="1" min="21" max="26" width="8.71"/>
  </cols>
  <sheetData>
    <row r="2">
      <c r="B2" s="1"/>
    </row>
    <row r="3" ht="27.75" customHeight="1">
      <c r="B3" s="4" t="s">
        <v>6</v>
      </c>
    </row>
    <row r="5" ht="48.0" customHeight="1">
      <c r="B5" s="2" t="s">
        <v>26</v>
      </c>
      <c r="C5" s="2" t="s">
        <v>32</v>
      </c>
      <c r="D5" s="2" t="s">
        <v>38</v>
      </c>
      <c r="E5" s="2" t="s">
        <v>44</v>
      </c>
      <c r="F5" s="2" t="s">
        <v>49</v>
      </c>
      <c r="G5" s="2" t="s">
        <v>56</v>
      </c>
      <c r="H5" s="2" t="s">
        <v>62</v>
      </c>
      <c r="I5" s="2" t="s">
        <v>65</v>
      </c>
      <c r="J5" s="2" t="s">
        <v>7</v>
      </c>
      <c r="K5" s="2" t="s">
        <v>71</v>
      </c>
      <c r="L5" s="2" t="s">
        <v>74</v>
      </c>
      <c r="M5" s="2" t="s">
        <v>78</v>
      </c>
      <c r="N5" s="2" t="s">
        <v>82</v>
      </c>
      <c r="O5" s="2" t="s">
        <v>85</v>
      </c>
      <c r="P5" s="2" t="s">
        <v>88</v>
      </c>
      <c r="Q5" s="2" t="s">
        <v>92</v>
      </c>
      <c r="R5" s="2" t="s">
        <v>96</v>
      </c>
      <c r="S5" s="10" t="s">
        <v>102</v>
      </c>
      <c r="T5" s="10" t="s">
        <v>111</v>
      </c>
    </row>
    <row r="6" ht="300.0" customHeight="1">
      <c r="B6" s="5">
        <v>1.0</v>
      </c>
      <c r="C6" s="5" t="s">
        <v>121</v>
      </c>
      <c r="D6" s="5" t="s">
        <v>123</v>
      </c>
      <c r="E6" s="5" t="s">
        <v>127</v>
      </c>
      <c r="F6" s="16">
        <f>Assumptions!$C$15/(1-Assumptions!$C$14)/Assumptions!$C$31*Assumptions!$C$30-F9-F10</f>
        <v>698222.0725</v>
      </c>
      <c r="G6" s="17">
        <f>F6/Assumptions!$C$7</f>
        <v>79.70571603</v>
      </c>
      <c r="H6" s="17">
        <f>G6*Assumptions!$C$6</f>
        <v>6.623330441</v>
      </c>
      <c r="I6" s="5" t="s">
        <v>206</v>
      </c>
      <c r="J6" s="5" t="s">
        <v>209</v>
      </c>
      <c r="K6" s="5" t="s">
        <v>217</v>
      </c>
      <c r="L6" s="5" t="s">
        <v>220</v>
      </c>
      <c r="M6" s="5" t="s">
        <v>224</v>
      </c>
      <c r="N6" s="17">
        <f t="shared" ref="N6:N7" si="1">IF(ISNUMBER(H6),1-EXP(-H6),"n/a")</f>
        <v>0.9986710026</v>
      </c>
      <c r="O6" s="18" t="s">
        <v>263</v>
      </c>
      <c r="P6" s="5" t="s">
        <v>273</v>
      </c>
      <c r="Q6" s="7">
        <f>Assumptions!$C$37</f>
        <v>15</v>
      </c>
      <c r="R6" s="17">
        <f>IF(ISNUMBER(H6),H6/Q6,"n/a")</f>
        <v>0.4415553627</v>
      </c>
    </row>
    <row r="7" ht="108.0" customHeight="1">
      <c r="B7" s="5" t="s">
        <v>331</v>
      </c>
      <c r="C7" s="5" t="s">
        <v>334</v>
      </c>
      <c r="D7" s="5" t="s">
        <v>335</v>
      </c>
      <c r="E7" s="5" t="s">
        <v>337</v>
      </c>
      <c r="F7" s="16">
        <f>Assumptions!$C$33</f>
        <v>34.1</v>
      </c>
      <c r="G7" s="17">
        <f>F7/Assumptions!$C$7</f>
        <v>0.003892694064</v>
      </c>
      <c r="H7" s="17">
        <f>G7</f>
        <v>0.003892694064</v>
      </c>
      <c r="I7" s="5" t="s">
        <v>377</v>
      </c>
      <c r="J7" s="5" t="s">
        <v>380</v>
      </c>
      <c r="K7" s="19" t="s">
        <v>384</v>
      </c>
      <c r="L7" s="5" t="s">
        <v>390</v>
      </c>
      <c r="M7" s="5" t="s">
        <v>392</v>
      </c>
      <c r="N7" s="17">
        <f t="shared" si="1"/>
        <v>0.003885127352</v>
      </c>
      <c r="O7" s="21" t="s">
        <v>395</v>
      </c>
      <c r="P7" s="5" t="s">
        <v>400</v>
      </c>
      <c r="Q7" s="7" t="s">
        <v>402</v>
      </c>
      <c r="R7" s="17">
        <f>H7</f>
        <v>0.003892694064</v>
      </c>
    </row>
    <row r="8" ht="94.5" customHeight="1">
      <c r="B8" s="5" t="s">
        <v>411</v>
      </c>
      <c r="C8" s="5" t="s">
        <v>412</v>
      </c>
      <c r="D8" s="5" t="s">
        <v>413</v>
      </c>
      <c r="E8" s="5" t="s">
        <v>414</v>
      </c>
      <c r="F8" s="16" t="s">
        <v>415</v>
      </c>
      <c r="G8" s="17" t="s">
        <v>416</v>
      </c>
      <c r="H8" s="17" t="s">
        <v>416</v>
      </c>
      <c r="I8" s="5" t="s">
        <v>417</v>
      </c>
      <c r="J8" s="5" t="s">
        <v>418</v>
      </c>
      <c r="K8" s="5" t="s">
        <v>419</v>
      </c>
      <c r="L8" s="5" t="s">
        <v>420</v>
      </c>
      <c r="M8" s="5" t="s">
        <v>416</v>
      </c>
      <c r="N8" s="17" t="s">
        <v>416</v>
      </c>
      <c r="O8" s="21" t="s">
        <v>421</v>
      </c>
      <c r="P8" s="5" t="s">
        <v>422</v>
      </c>
      <c r="Q8" s="7" t="s">
        <v>423</v>
      </c>
      <c r="R8" s="17" t="s">
        <v>416</v>
      </c>
    </row>
    <row r="9" ht="189.0" customHeight="1">
      <c r="B9" s="5">
        <v>2.0</v>
      </c>
      <c r="C9" s="5" t="s">
        <v>424</v>
      </c>
      <c r="D9" s="5" t="s">
        <v>123</v>
      </c>
      <c r="E9" s="5" t="s">
        <v>425</v>
      </c>
      <c r="F9" s="16">
        <f>(Assumptions!$C$17-Assumptions!$C$46)*Assumptions!$C$30</f>
        <v>2189.75</v>
      </c>
      <c r="G9" s="17">
        <f>F9/Assumptions!$C$7</f>
        <v>0.2499714612</v>
      </c>
      <c r="H9" s="17">
        <f>G9*Assumptions!$C$6</f>
        <v>0.02077195552</v>
      </c>
      <c r="I9" s="5" t="s">
        <v>437</v>
      </c>
      <c r="J9" s="5" t="s">
        <v>438</v>
      </c>
      <c r="K9" s="5" t="s">
        <v>441</v>
      </c>
      <c r="L9" s="5" t="s">
        <v>442</v>
      </c>
      <c r="M9" s="5" t="s">
        <v>224</v>
      </c>
      <c r="N9" s="17">
        <f t="shared" ref="N9:N14" si="2">IF(ISNUMBER(H9),1-EXP(-H9),"n/a")</f>
        <v>0.02055770449</v>
      </c>
      <c r="O9" s="21" t="s">
        <v>466</v>
      </c>
      <c r="P9" s="5" t="s">
        <v>469</v>
      </c>
      <c r="Q9" s="7">
        <f>Assumptions!$C$38</f>
        <v>9</v>
      </c>
      <c r="R9" s="17">
        <f t="shared" ref="R9:R15" si="3">IF(ISNUMBER(H9),H9/Q9,"n/a")</f>
        <v>0.002307995058</v>
      </c>
    </row>
    <row r="10" ht="135.0" customHeight="1">
      <c r="B10" s="5">
        <v>3.0</v>
      </c>
      <c r="C10" s="5" t="s">
        <v>424</v>
      </c>
      <c r="D10" s="5" t="s">
        <v>479</v>
      </c>
      <c r="E10" s="5" t="s">
        <v>481</v>
      </c>
      <c r="F10" s="16">
        <f>Assumptions!$C$18*Assumptions!$C$30</f>
        <v>904.875</v>
      </c>
      <c r="G10" s="17">
        <f>F10/Assumptions!$C$7</f>
        <v>0.1032962329</v>
      </c>
      <c r="H10" s="17">
        <f>G10*Assumptions!$C$6</f>
        <v>0.008583638887</v>
      </c>
      <c r="I10" s="5" t="s">
        <v>492</v>
      </c>
      <c r="J10" s="5" t="s">
        <v>493</v>
      </c>
      <c r="K10" s="5" t="s">
        <v>494</v>
      </c>
      <c r="L10" s="5" t="s">
        <v>496</v>
      </c>
      <c r="M10" s="5" t="s">
        <v>224</v>
      </c>
      <c r="N10" s="17">
        <f t="shared" si="2"/>
        <v>0.008546904638</v>
      </c>
      <c r="O10" s="27" t="s">
        <v>503</v>
      </c>
      <c r="P10" s="5" t="s">
        <v>510</v>
      </c>
      <c r="Q10" s="7">
        <f>Assumptions!$C$37</f>
        <v>15</v>
      </c>
      <c r="R10" s="17">
        <f t="shared" si="3"/>
        <v>0.0005722425925</v>
      </c>
      <c r="S10" s="29">
        <v>1.0</v>
      </c>
    </row>
    <row r="11" ht="135.0" customHeight="1">
      <c r="B11" s="5">
        <v>4.0</v>
      </c>
      <c r="C11" s="5" t="s">
        <v>525</v>
      </c>
      <c r="D11" s="5" t="s">
        <v>123</v>
      </c>
      <c r="E11" s="5" t="s">
        <v>528</v>
      </c>
      <c r="F11" s="16">
        <f>F6/Assumptions!$C$30*Assumptions!$C$9*Assumptions!$C$10</f>
        <v>16489.72506</v>
      </c>
      <c r="G11" s="17">
        <f>F11/Assumptions!$C$7</f>
        <v>1.882388705</v>
      </c>
      <c r="H11" s="17">
        <f>G11*Assumptions!$C$6</f>
        <v>0.1564214342</v>
      </c>
      <c r="I11" s="5" t="s">
        <v>549</v>
      </c>
      <c r="J11" s="5" t="s">
        <v>550</v>
      </c>
      <c r="K11" s="5" t="s">
        <v>552</v>
      </c>
      <c r="L11" s="5" t="s">
        <v>553</v>
      </c>
      <c r="M11" s="5" t="s">
        <v>224</v>
      </c>
      <c r="N11" s="17">
        <f t="shared" si="2"/>
        <v>0.1448012955</v>
      </c>
      <c r="O11" s="18" t="s">
        <v>263</v>
      </c>
      <c r="P11" s="5" t="s">
        <v>554</v>
      </c>
      <c r="Q11" s="7">
        <f>Assumptions!$C$37</f>
        <v>15</v>
      </c>
      <c r="R11" s="17">
        <f t="shared" si="3"/>
        <v>0.01042809561</v>
      </c>
    </row>
    <row r="12" ht="81.0" customHeight="1">
      <c r="B12" s="5">
        <v>5.0</v>
      </c>
      <c r="C12" s="5" t="s">
        <v>525</v>
      </c>
      <c r="D12" s="5" t="s">
        <v>123</v>
      </c>
      <c r="E12" s="5" t="s">
        <v>425</v>
      </c>
      <c r="F12" s="16">
        <f>F9/Assumptions!$C$30*Assumptions!$C$9*Assumptions!$C$11</f>
        <v>43.33780992</v>
      </c>
      <c r="G12" s="17">
        <f>F12/Assumptions!$C$7</f>
        <v>0.004947238575</v>
      </c>
      <c r="H12" s="17">
        <f>G12*Assumptions!$C$6</f>
        <v>0.000411102208</v>
      </c>
      <c r="I12" s="5" t="s">
        <v>558</v>
      </c>
      <c r="J12" s="5" t="s">
        <v>560</v>
      </c>
      <c r="K12" s="5" t="s">
        <v>563</v>
      </c>
      <c r="L12" s="5" t="s">
        <v>564</v>
      </c>
      <c r="M12" s="5" t="s">
        <v>224</v>
      </c>
      <c r="N12" s="17">
        <f t="shared" si="2"/>
        <v>0.0004110177171</v>
      </c>
      <c r="O12" s="18" t="s">
        <v>263</v>
      </c>
      <c r="P12" s="5" t="s">
        <v>568</v>
      </c>
      <c r="Q12" s="7">
        <f>Assumptions!$C$38</f>
        <v>9</v>
      </c>
      <c r="R12" s="17">
        <f t="shared" si="3"/>
        <v>0.00004567802311</v>
      </c>
    </row>
    <row r="13" ht="67.5" customHeight="1">
      <c r="B13" s="5">
        <v>6.0</v>
      </c>
      <c r="C13" s="5" t="s">
        <v>525</v>
      </c>
      <c r="D13" s="5" t="s">
        <v>479</v>
      </c>
      <c r="E13" s="5" t="s">
        <v>481</v>
      </c>
      <c r="F13" s="16">
        <f>F10/Assumptions!$C$30*Assumptions!$C$9*Assumptions!$C$13</f>
        <v>7.14375</v>
      </c>
      <c r="G13" s="17">
        <f>F13/Assumptions!$C$7</f>
        <v>0.0008154965753</v>
      </c>
      <c r="H13" s="17">
        <f>G13*Assumptions!$C$6</f>
        <v>0.00006776557016</v>
      </c>
      <c r="I13" s="5" t="s">
        <v>580</v>
      </c>
      <c r="J13" s="5" t="s">
        <v>582</v>
      </c>
      <c r="K13" s="5" t="s">
        <v>584</v>
      </c>
      <c r="L13" s="5" t="s">
        <v>585</v>
      </c>
      <c r="M13" s="5" t="s">
        <v>224</v>
      </c>
      <c r="N13" s="17">
        <f t="shared" si="2"/>
        <v>0.00006776327413</v>
      </c>
      <c r="O13" s="18" t="s">
        <v>263</v>
      </c>
      <c r="P13" s="5" t="s">
        <v>587</v>
      </c>
      <c r="Q13" s="7">
        <f>Assumptions!$C$37</f>
        <v>15</v>
      </c>
      <c r="R13" s="17">
        <f t="shared" si="3"/>
        <v>0.000004517704677</v>
      </c>
      <c r="S13" s="29">
        <v>1.0</v>
      </c>
    </row>
    <row r="14" ht="162.0" customHeight="1">
      <c r="B14" s="5">
        <v>7.0</v>
      </c>
      <c r="C14" s="5" t="s">
        <v>588</v>
      </c>
      <c r="D14" s="5" t="s">
        <v>589</v>
      </c>
      <c r="E14" s="5" t="s">
        <v>590</v>
      </c>
      <c r="F14" s="16">
        <v>1.0</v>
      </c>
      <c r="G14" s="17">
        <f>F14/Assumptions!$C$7</f>
        <v>0.0001141552511</v>
      </c>
      <c r="H14" s="17">
        <f>G14*Assumptions!$C$6</f>
        <v>0.000009485994073</v>
      </c>
      <c r="I14" s="5" t="s">
        <v>597</v>
      </c>
      <c r="J14" s="5" t="s">
        <v>598</v>
      </c>
      <c r="K14" s="5" t="s">
        <v>599</v>
      </c>
      <c r="L14" s="5" t="s">
        <v>600</v>
      </c>
      <c r="M14" s="5" t="s">
        <v>224</v>
      </c>
      <c r="N14" s="17">
        <f t="shared" si="2"/>
        <v>0.000009485949081</v>
      </c>
      <c r="O14" s="34" t="s">
        <v>400</v>
      </c>
      <c r="P14" s="5" t="s">
        <v>602</v>
      </c>
      <c r="Q14" s="7">
        <f>Assumptions!$C$37</f>
        <v>15</v>
      </c>
      <c r="R14" s="17">
        <f t="shared" si="3"/>
        <v>0.0000006323996049</v>
      </c>
    </row>
    <row r="15" ht="108.0" customHeight="1">
      <c r="B15" s="5" t="s">
        <v>603</v>
      </c>
      <c r="C15" s="5" t="s">
        <v>604</v>
      </c>
      <c r="D15" s="5" t="s">
        <v>123</v>
      </c>
      <c r="E15" s="5" t="s">
        <v>605</v>
      </c>
      <c r="F15" s="35">
        <f>0.04*F6/Assumptions!$C$30*Assumptions!$C$9</f>
        <v>1469.941205</v>
      </c>
      <c r="G15" s="36">
        <f>F15/Assumptions!$C$7</f>
        <v>0.1678015074</v>
      </c>
      <c r="H15" s="36">
        <f>G15*Assumptions!$C$6</f>
        <v>0.01394385356</v>
      </c>
      <c r="I15" s="5" t="s">
        <v>610</v>
      </c>
      <c r="J15" s="5" t="s">
        <v>611</v>
      </c>
      <c r="K15" s="5" t="s">
        <v>613</v>
      </c>
      <c r="L15" s="5" t="s">
        <v>614</v>
      </c>
      <c r="M15" s="19" t="s">
        <v>224</v>
      </c>
      <c r="N15" s="17">
        <f>IF(ISNUMBER(H15),1-EXP(-H15),"n/a")</f>
        <v>0.01384708832</v>
      </c>
      <c r="O15" s="38" t="s">
        <v>622</v>
      </c>
      <c r="P15" s="5" t="s">
        <v>624</v>
      </c>
      <c r="Q15" s="7">
        <f>Assumptions!$C$37</f>
        <v>15</v>
      </c>
      <c r="R15" s="17">
        <f t="shared" si="3"/>
        <v>0.0009295902373</v>
      </c>
    </row>
    <row r="16" ht="121.5" customHeight="1">
      <c r="B16" s="5">
        <v>8.0</v>
      </c>
      <c r="C16" s="5" t="s">
        <v>627</v>
      </c>
      <c r="D16" s="5" t="s">
        <v>628</v>
      </c>
      <c r="E16" s="5" t="s">
        <v>629</v>
      </c>
      <c r="F16" s="16">
        <f>55/(220/365)</f>
        <v>91.25</v>
      </c>
      <c r="G16" s="17">
        <f>F16/Assumptions!$C$7</f>
        <v>0.01041666667</v>
      </c>
      <c r="H16" s="17">
        <f t="shared" ref="H16:H19" si="4">G16</f>
        <v>0.01041666667</v>
      </c>
      <c r="I16" s="5" t="s">
        <v>632</v>
      </c>
      <c r="J16" s="5" t="s">
        <v>634</v>
      </c>
      <c r="K16" s="5" t="s">
        <v>635</v>
      </c>
      <c r="L16" s="5" t="s">
        <v>636</v>
      </c>
      <c r="M16" s="5" t="s">
        <v>392</v>
      </c>
      <c r="N16" s="17">
        <f t="shared" ref="N16:N25" si="5">IF(ISNUMBER(H16),1-EXP(-H16),"n/a")</f>
        <v>0.01036260109</v>
      </c>
      <c r="O16" s="21" t="s">
        <v>466</v>
      </c>
      <c r="P16" s="5" t="s">
        <v>638</v>
      </c>
      <c r="Q16" s="7" t="s">
        <v>402</v>
      </c>
      <c r="R16" s="17">
        <f t="shared" ref="R16:R20" si="6">H16</f>
        <v>0.01041666667</v>
      </c>
    </row>
    <row r="17" ht="108.0" customHeight="1">
      <c r="B17" s="5">
        <v>9.0</v>
      </c>
      <c r="C17" s="5" t="s">
        <v>640</v>
      </c>
      <c r="D17" s="5" t="s">
        <v>641</v>
      </c>
      <c r="E17" s="5" t="s">
        <v>642</v>
      </c>
      <c r="F17" s="16">
        <f>Assumptions!$C$19</f>
        <v>0.9037</v>
      </c>
      <c r="G17" s="17">
        <f>F17/Assumptions!$C$7</f>
        <v>0.0001031621005</v>
      </c>
      <c r="H17" s="17">
        <f t="shared" si="4"/>
        <v>0.0001031621005</v>
      </c>
      <c r="I17" s="5" t="s">
        <v>650</v>
      </c>
      <c r="J17" s="5" t="s">
        <v>651</v>
      </c>
      <c r="K17" s="5" t="s">
        <v>653</v>
      </c>
      <c r="L17" s="5" t="s">
        <v>654</v>
      </c>
      <c r="M17" s="5" t="s">
        <v>655</v>
      </c>
      <c r="N17" s="17">
        <f t="shared" si="5"/>
        <v>0.0001031567794</v>
      </c>
      <c r="O17" s="21" t="s">
        <v>466</v>
      </c>
      <c r="P17" s="5" t="s">
        <v>657</v>
      </c>
      <c r="Q17" s="7" t="s">
        <v>658</v>
      </c>
      <c r="R17" s="17">
        <f t="shared" si="6"/>
        <v>0.0001031621005</v>
      </c>
    </row>
    <row r="18" ht="135.0" customHeight="1">
      <c r="B18" s="5">
        <v>10.0</v>
      </c>
      <c r="C18" s="5" t="s">
        <v>660</v>
      </c>
      <c r="D18" s="5" t="s">
        <v>661</v>
      </c>
      <c r="E18" s="5" t="s">
        <v>663</v>
      </c>
      <c r="F18" s="16">
        <f>Assumptions!$C$21-Assumptions!$C$19</f>
        <v>0.1834</v>
      </c>
      <c r="G18" s="17">
        <f>F18/Assumptions!$C$7</f>
        <v>0.00002093607306</v>
      </c>
      <c r="H18" s="17">
        <f t="shared" si="4"/>
        <v>0.00002093607306</v>
      </c>
      <c r="I18" s="5" t="s">
        <v>670</v>
      </c>
      <c r="J18" s="5" t="s">
        <v>671</v>
      </c>
      <c r="K18" s="5" t="s">
        <v>672</v>
      </c>
      <c r="L18" s="5" t="s">
        <v>673</v>
      </c>
      <c r="M18" s="5" t="s">
        <v>655</v>
      </c>
      <c r="N18" s="17">
        <f t="shared" si="5"/>
        <v>0.0000209358539</v>
      </c>
      <c r="O18" s="18" t="s">
        <v>263</v>
      </c>
      <c r="P18" s="5" t="s">
        <v>676</v>
      </c>
      <c r="Q18" s="7" t="s">
        <v>658</v>
      </c>
      <c r="R18" s="17">
        <f t="shared" si="6"/>
        <v>0.00002093607306</v>
      </c>
      <c r="S18" s="29">
        <v>1.0</v>
      </c>
    </row>
    <row r="19" ht="94.5" customHeight="1">
      <c r="B19" s="5">
        <v>11.0</v>
      </c>
      <c r="C19" s="5" t="s">
        <v>678</v>
      </c>
      <c r="D19" s="5" t="s">
        <v>641</v>
      </c>
      <c r="E19" s="5" t="s">
        <v>679</v>
      </c>
      <c r="F19" s="16">
        <f>Assumptions!$C$24</f>
        <v>0.3113333333</v>
      </c>
      <c r="G19" s="17">
        <f>F19/Assumptions!$C$7</f>
        <v>0.00003554033486</v>
      </c>
      <c r="H19" s="17">
        <f t="shared" si="4"/>
        <v>0.00003554033486</v>
      </c>
      <c r="I19" s="5" t="s">
        <v>685</v>
      </c>
      <c r="J19" s="5" t="s">
        <v>686</v>
      </c>
      <c r="K19" s="5" t="s">
        <v>687</v>
      </c>
      <c r="L19" s="5" t="s">
        <v>688</v>
      </c>
      <c r="M19" s="5" t="s">
        <v>655</v>
      </c>
      <c r="N19" s="17">
        <f t="shared" si="5"/>
        <v>0.00003553970331</v>
      </c>
      <c r="O19" s="18" t="s">
        <v>263</v>
      </c>
      <c r="P19" s="5" t="s">
        <v>691</v>
      </c>
      <c r="Q19" s="7" t="s">
        <v>658</v>
      </c>
      <c r="R19" s="17">
        <f t="shared" si="6"/>
        <v>0.00003554033486</v>
      </c>
    </row>
    <row r="20" ht="108.0" customHeight="1">
      <c r="B20" s="5">
        <v>12.0</v>
      </c>
      <c r="C20" s="5" t="s">
        <v>693</v>
      </c>
      <c r="D20" s="5" t="s">
        <v>694</v>
      </c>
      <c r="E20" s="5" t="s">
        <v>696</v>
      </c>
      <c r="F20" s="16">
        <f>Assumptions!$C$26</f>
        <v>5</v>
      </c>
      <c r="G20" s="17">
        <f>F20/Assumptions!$C$7</f>
        <v>0.0005707762557</v>
      </c>
      <c r="H20" s="17" t="str">
        <f>IF(ISNUMBER(Assumptions!$C$27),G20*Assumptions!$C$27,"needs q")</f>
        <v>needs q</v>
      </c>
      <c r="I20" s="5" t="s">
        <v>705</v>
      </c>
      <c r="J20" s="5" t="s">
        <v>706</v>
      </c>
      <c r="K20" s="5" t="s">
        <v>707</v>
      </c>
      <c r="L20" s="5" t="s">
        <v>708</v>
      </c>
      <c r="M20" s="5" t="s">
        <v>709</v>
      </c>
      <c r="N20" s="17" t="str">
        <f t="shared" si="5"/>
        <v>n/a</v>
      </c>
      <c r="O20" s="21" t="s">
        <v>712</v>
      </c>
      <c r="P20" s="5" t="s">
        <v>713</v>
      </c>
      <c r="Q20" s="7" t="s">
        <v>402</v>
      </c>
      <c r="R20" s="17" t="str">
        <f t="shared" si="6"/>
        <v>needs q</v>
      </c>
    </row>
    <row r="21" ht="162.0" customHeight="1">
      <c r="B21" s="5">
        <v>13.0</v>
      </c>
      <c r="C21" s="5" t="s">
        <v>714</v>
      </c>
      <c r="D21" s="5" t="s">
        <v>123</v>
      </c>
      <c r="E21" s="5" t="s">
        <v>716</v>
      </c>
      <c r="F21" s="16">
        <f>8/6</f>
        <v>1.333333333</v>
      </c>
      <c r="G21" s="17">
        <f>F21/Assumptions!$C$7</f>
        <v>0.0001522070015</v>
      </c>
      <c r="H21" s="17">
        <f>G21*Assumptions!$C$6</f>
        <v>0.0000126479921</v>
      </c>
      <c r="I21" s="5" t="s">
        <v>724</v>
      </c>
      <c r="J21" s="5" t="s">
        <v>725</v>
      </c>
      <c r="K21" s="5" t="s">
        <v>726</v>
      </c>
      <c r="L21" s="5" t="s">
        <v>727</v>
      </c>
      <c r="M21" s="5" t="s">
        <v>224</v>
      </c>
      <c r="N21" s="17">
        <f t="shared" si="5"/>
        <v>0.00001264791211</v>
      </c>
      <c r="O21" s="18" t="s">
        <v>263</v>
      </c>
      <c r="P21" s="5" t="s">
        <v>730</v>
      </c>
      <c r="Q21" s="7">
        <f>Assumptions!$C$42</f>
        <v>4</v>
      </c>
      <c r="R21" s="17">
        <f>IF(ISNUMBER(H21),H21/Q21,"n/a")</f>
        <v>0.000003161998024</v>
      </c>
      <c r="S21" s="29">
        <v>1.0</v>
      </c>
    </row>
    <row r="22" ht="135.0" customHeight="1">
      <c r="B22" s="5">
        <v>14.0</v>
      </c>
      <c r="C22" s="5" t="s">
        <v>737</v>
      </c>
      <c r="D22" s="5" t="s">
        <v>479</v>
      </c>
      <c r="E22" s="5" t="s">
        <v>738</v>
      </c>
      <c r="F22" s="16">
        <f>5/26</f>
        <v>0.1923076923</v>
      </c>
      <c r="G22" s="17">
        <f>F22/Assumptions!$C$7</f>
        <v>0.00002195293291</v>
      </c>
      <c r="H22" s="17">
        <f>G22*Assumptions!$C$6</f>
        <v>0.000001824229629</v>
      </c>
      <c r="I22" s="5" t="s">
        <v>742</v>
      </c>
      <c r="J22" s="5" t="s">
        <v>743</v>
      </c>
      <c r="K22" s="5" t="s">
        <v>744</v>
      </c>
      <c r="L22" s="5" t="s">
        <v>745</v>
      </c>
      <c r="M22" s="5" t="s">
        <v>224</v>
      </c>
      <c r="N22" s="17">
        <f t="shared" si="5"/>
        <v>0.000001824227966</v>
      </c>
      <c r="O22" s="18" t="s">
        <v>263</v>
      </c>
      <c r="P22" s="5" t="s">
        <v>746</v>
      </c>
      <c r="Q22" s="7" t="s">
        <v>402</v>
      </c>
      <c r="R22" s="17">
        <f t="shared" ref="R22:R25" si="7">H22</f>
        <v>0.000001824229629</v>
      </c>
    </row>
    <row r="23" ht="108.0" customHeight="1">
      <c r="B23" s="5">
        <v>15.0</v>
      </c>
      <c r="C23" s="5" t="s">
        <v>747</v>
      </c>
      <c r="D23" s="5" t="s">
        <v>123</v>
      </c>
      <c r="E23" s="5" t="s">
        <v>748</v>
      </c>
      <c r="F23" s="16">
        <f>0.01-0.002</f>
        <v>0.008</v>
      </c>
      <c r="G23" s="17">
        <f>F23/Assumptions!$C$7</f>
        <v>0.0000009132420091</v>
      </c>
      <c r="H23" s="17">
        <f t="shared" ref="H23:H25" si="8">G23</f>
        <v>0.0000009132420091</v>
      </c>
      <c r="I23" s="5" t="s">
        <v>750</v>
      </c>
      <c r="J23" s="5" t="s">
        <v>751</v>
      </c>
      <c r="K23" s="5" t="s">
        <v>752</v>
      </c>
      <c r="L23" s="5" t="s">
        <v>753</v>
      </c>
      <c r="M23" s="5" t="s">
        <v>392</v>
      </c>
      <c r="N23" s="17">
        <f t="shared" si="5"/>
        <v>0.0000009132415921</v>
      </c>
      <c r="O23" s="27" t="s">
        <v>754</v>
      </c>
      <c r="P23" s="5" t="s">
        <v>400</v>
      </c>
      <c r="Q23" s="7">
        <f>Assumptions!$C$40</f>
        <v>1</v>
      </c>
      <c r="R23" s="17">
        <f t="shared" si="7"/>
        <v>0.0000009132420091</v>
      </c>
    </row>
    <row r="24" ht="81.0" customHeight="1">
      <c r="B24" s="5">
        <v>16.0</v>
      </c>
      <c r="C24" s="5" t="s">
        <v>755</v>
      </c>
      <c r="D24" s="5" t="s">
        <v>479</v>
      </c>
      <c r="E24" s="5" t="s">
        <v>756</v>
      </c>
      <c r="F24" s="16">
        <v>0.002</v>
      </c>
      <c r="G24" s="17">
        <f>F24/Assumptions!$C$7</f>
        <v>0.0000002283105023</v>
      </c>
      <c r="H24" s="17">
        <f t="shared" si="8"/>
        <v>0.0000002283105023</v>
      </c>
      <c r="I24" s="5" t="s">
        <v>757</v>
      </c>
      <c r="J24" s="5" t="s">
        <v>758</v>
      </c>
      <c r="K24" s="5" t="s">
        <v>759</v>
      </c>
      <c r="L24" s="5" t="s">
        <v>760</v>
      </c>
      <c r="M24" s="5" t="s">
        <v>392</v>
      </c>
      <c r="N24" s="17">
        <f t="shared" si="5"/>
        <v>0.0000002283104762</v>
      </c>
      <c r="O24" s="27" t="s">
        <v>754</v>
      </c>
      <c r="P24" s="5" t="s">
        <v>400</v>
      </c>
      <c r="Q24" s="7" t="s">
        <v>402</v>
      </c>
      <c r="R24" s="17">
        <f t="shared" si="7"/>
        <v>0.0000002283105023</v>
      </c>
    </row>
    <row r="25" ht="108.0" customHeight="1">
      <c r="B25" s="5">
        <v>18.0</v>
      </c>
      <c r="C25" s="5" t="s">
        <v>761</v>
      </c>
      <c r="D25" s="5" t="s">
        <v>479</v>
      </c>
      <c r="E25" s="5" t="s">
        <v>762</v>
      </c>
      <c r="F25" s="16">
        <f>Assumptions!$C$29</f>
        <v>0.0305430244</v>
      </c>
      <c r="G25" s="17">
        <f>F25/Assumptions!$C$7</f>
        <v>0.000003486646621</v>
      </c>
      <c r="H25" s="17">
        <f t="shared" si="8"/>
        <v>0.000003486646621</v>
      </c>
      <c r="I25" s="5" t="s">
        <v>763</v>
      </c>
      <c r="J25" s="5" t="s">
        <v>764</v>
      </c>
      <c r="K25" s="5" t="s">
        <v>765</v>
      </c>
      <c r="L25" s="5" t="s">
        <v>766</v>
      </c>
      <c r="M25" s="5" t="s">
        <v>767</v>
      </c>
      <c r="N25" s="17">
        <f t="shared" si="5"/>
        <v>0.000003486640542</v>
      </c>
      <c r="O25" s="21" t="s">
        <v>768</v>
      </c>
      <c r="P25" s="5" t="s">
        <v>769</v>
      </c>
      <c r="Q25" s="7" t="s">
        <v>402</v>
      </c>
      <c r="R25" s="17">
        <f t="shared" si="7"/>
        <v>0.000003486646621</v>
      </c>
      <c r="S25" s="29">
        <v>1.0</v>
      </c>
    </row>
    <row r="26" ht="15.75" customHeight="1"/>
    <row r="27" ht="15.75" customHeight="1">
      <c r="B27" s="3" t="s">
        <v>770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B3:R3"/>
    <mergeCell ref="B27:K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8.0"/>
    <col customWidth="1" min="3" max="3" width="14.0"/>
    <col customWidth="1" min="4" max="4" width="22.0"/>
    <col customWidth="1" min="5" max="5" width="110.0"/>
    <col customWidth="1" min="6" max="26" width="8.71"/>
  </cols>
  <sheetData>
    <row r="2">
      <c r="B2" s="1" t="s">
        <v>0</v>
      </c>
    </row>
    <row r="3">
      <c r="B3" s="2" t="s">
        <v>4</v>
      </c>
      <c r="C3" s="2" t="s">
        <v>12</v>
      </c>
      <c r="D3" s="2" t="s">
        <v>14</v>
      </c>
      <c r="E3" s="2" t="s">
        <v>15</v>
      </c>
    </row>
    <row r="4">
      <c r="B4" s="6" t="s">
        <v>18</v>
      </c>
      <c r="C4" s="7">
        <v>4060.3</v>
      </c>
      <c r="D4" s="8" t="s">
        <v>34</v>
      </c>
      <c r="E4" s="8" t="s">
        <v>41</v>
      </c>
    </row>
    <row r="5">
      <c r="B5" s="6" t="s">
        <v>45</v>
      </c>
      <c r="C5" s="7">
        <v>337.4</v>
      </c>
      <c r="D5" s="8" t="s">
        <v>34</v>
      </c>
      <c r="E5" s="8" t="s">
        <v>52</v>
      </c>
    </row>
    <row r="6">
      <c r="B6" s="6" t="s">
        <v>55</v>
      </c>
      <c r="C6" s="12">
        <f>C5/C4</f>
        <v>0.08309730808</v>
      </c>
      <c r="D6" s="8" t="s">
        <v>136</v>
      </c>
      <c r="E6" s="8" t="s">
        <v>139</v>
      </c>
    </row>
    <row r="7">
      <c r="B7" s="6" t="s">
        <v>141</v>
      </c>
      <c r="C7" s="7">
        <v>8760.0</v>
      </c>
      <c r="D7" s="8" t="s">
        <v>142</v>
      </c>
      <c r="E7" s="8" t="s">
        <v>143</v>
      </c>
    </row>
    <row r="8">
      <c r="B8" s="6" t="s">
        <v>144</v>
      </c>
      <c r="C8" s="7">
        <v>10.0</v>
      </c>
      <c r="D8" s="8" t="s">
        <v>145</v>
      </c>
      <c r="E8" s="8" t="s">
        <v>146</v>
      </c>
    </row>
    <row r="9">
      <c r="B9" s="6" t="s">
        <v>147</v>
      </c>
      <c r="C9" s="7">
        <v>0.05</v>
      </c>
      <c r="D9" s="8" t="s">
        <v>148</v>
      </c>
      <c r="E9" s="8" t="s">
        <v>149</v>
      </c>
    </row>
    <row r="10">
      <c r="B10" s="6" t="s">
        <v>150</v>
      </c>
      <c r="C10" s="15">
        <f>2.1/4.68</f>
        <v>0.4487179487</v>
      </c>
      <c r="D10" s="8" t="s">
        <v>136</v>
      </c>
      <c r="E10" s="8" t="s">
        <v>155</v>
      </c>
    </row>
    <row r="11">
      <c r="B11" s="6" t="s">
        <v>157</v>
      </c>
      <c r="C11" s="15">
        <f>0.91/2.42</f>
        <v>0.3760330579</v>
      </c>
      <c r="D11" s="8" t="s">
        <v>136</v>
      </c>
      <c r="E11" s="8" t="s">
        <v>173</v>
      </c>
    </row>
    <row r="12">
      <c r="B12" s="6" t="s">
        <v>176</v>
      </c>
      <c r="C12" s="15">
        <f>0.27/1.19</f>
        <v>0.2268907563</v>
      </c>
      <c r="D12" s="8" t="s">
        <v>136</v>
      </c>
      <c r="E12" s="8" t="s">
        <v>191</v>
      </c>
    </row>
    <row r="13">
      <c r="B13" s="6" t="s">
        <v>193</v>
      </c>
      <c r="C13" s="15">
        <v>0.15</v>
      </c>
      <c r="D13" s="8" t="s">
        <v>136</v>
      </c>
      <c r="E13" s="8" t="s">
        <v>197</v>
      </c>
    </row>
    <row r="14">
      <c r="B14" s="6" t="s">
        <v>200</v>
      </c>
      <c r="C14" s="15">
        <f>26429/39689</f>
        <v>0.6659023911</v>
      </c>
      <c r="D14" s="8" t="s">
        <v>148</v>
      </c>
      <c r="E14" s="8" t="s">
        <v>215</v>
      </c>
    </row>
    <row r="15">
      <c r="B15" s="6" t="s">
        <v>219</v>
      </c>
      <c r="C15" s="7">
        <v>40449.0</v>
      </c>
      <c r="D15" s="8" t="s">
        <v>223</v>
      </c>
      <c r="E15" s="8" t="s">
        <v>226</v>
      </c>
    </row>
    <row r="16">
      <c r="B16" s="6" t="s">
        <v>229</v>
      </c>
      <c r="C16" s="7">
        <v>39689.0</v>
      </c>
      <c r="D16" s="8" t="s">
        <v>223</v>
      </c>
      <c r="E16" s="8" t="s">
        <v>233</v>
      </c>
    </row>
    <row r="17">
      <c r="B17" s="6" t="s">
        <v>236</v>
      </c>
      <c r="C17" s="7">
        <v>2515.0</v>
      </c>
      <c r="D17" s="8" t="s">
        <v>238</v>
      </c>
      <c r="E17" s="8" t="s">
        <v>240</v>
      </c>
    </row>
    <row r="18">
      <c r="B18" s="6" t="s">
        <v>243</v>
      </c>
      <c r="C18" s="7">
        <v>952.5</v>
      </c>
      <c r="D18" s="8" t="s">
        <v>223</v>
      </c>
      <c r="E18" s="8" t="s">
        <v>246</v>
      </c>
    </row>
    <row r="19">
      <c r="B19" s="6" t="s">
        <v>250</v>
      </c>
      <c r="C19" s="15">
        <f>Working!G16</f>
        <v>0.9037</v>
      </c>
      <c r="D19" s="8" t="s">
        <v>272</v>
      </c>
      <c r="E19" s="8" t="s">
        <v>275</v>
      </c>
    </row>
    <row r="20">
      <c r="B20" s="6" t="s">
        <v>278</v>
      </c>
      <c r="C20" s="15">
        <f>Working!H16</f>
        <v>107.321</v>
      </c>
      <c r="D20" s="8" t="s">
        <v>295</v>
      </c>
      <c r="E20" s="8" t="s">
        <v>297</v>
      </c>
    </row>
    <row r="21" ht="15.75" customHeight="1">
      <c r="B21" s="6" t="s">
        <v>301</v>
      </c>
      <c r="C21" s="15">
        <f>Working!D16</f>
        <v>1.0871</v>
      </c>
      <c r="D21" s="8" t="s">
        <v>272</v>
      </c>
      <c r="E21" s="8" t="s">
        <v>318</v>
      </c>
    </row>
    <row r="22" ht="15.75" customHeight="1">
      <c r="B22" s="6" t="s">
        <v>321</v>
      </c>
      <c r="C22" s="15">
        <f>Working!C16</f>
        <v>192.045</v>
      </c>
      <c r="D22" s="8" t="s">
        <v>295</v>
      </c>
      <c r="E22" s="8" t="s">
        <v>318</v>
      </c>
    </row>
    <row r="23" ht="15.75" customHeight="1">
      <c r="B23" s="6" t="s">
        <v>340</v>
      </c>
      <c r="C23" s="15">
        <f>Working!F16</f>
        <v>97.243</v>
      </c>
      <c r="D23" s="8" t="s">
        <v>295</v>
      </c>
      <c r="E23" s="8" t="s">
        <v>318</v>
      </c>
    </row>
    <row r="24" ht="15.75" customHeight="1">
      <c r="B24" s="6" t="s">
        <v>358</v>
      </c>
      <c r="C24" s="15">
        <f>AVERAGE(1.269-0.937,1.25-0.901,1.216-0.963)</f>
        <v>0.3113333333</v>
      </c>
      <c r="D24" s="8" t="s">
        <v>272</v>
      </c>
      <c r="E24" s="8" t="s">
        <v>387</v>
      </c>
    </row>
    <row r="25" ht="15.75" customHeight="1">
      <c r="B25" s="6" t="s">
        <v>391</v>
      </c>
      <c r="C25" s="23">
        <f>AVERAGE((205.6-95.86)/(1.269-0.937),(186.33-100.25)/(1.25-0.901),(198.18-116.37)/(1.216-0.963))</f>
        <v>300.183139</v>
      </c>
      <c r="D25" s="8" t="s">
        <v>295</v>
      </c>
      <c r="E25" s="8" t="s">
        <v>426</v>
      </c>
    </row>
    <row r="26" ht="15.75" customHeight="1">
      <c r="B26" s="6" t="s">
        <v>427</v>
      </c>
      <c r="C26" s="7">
        <v>5.0</v>
      </c>
      <c r="D26" s="8" t="s">
        <v>238</v>
      </c>
      <c r="E26" s="8" t="s">
        <v>428</v>
      </c>
    </row>
    <row r="27" ht="15.75" customHeight="1">
      <c r="B27" s="6" t="s">
        <v>429</v>
      </c>
      <c r="C27" s="7"/>
      <c r="D27" s="8" t="s">
        <v>430</v>
      </c>
      <c r="E27" s="8" t="s">
        <v>431</v>
      </c>
    </row>
    <row r="28" ht="15.75" customHeight="1">
      <c r="B28" s="6" t="s">
        <v>432</v>
      </c>
      <c r="C28" s="7">
        <v>0.6</v>
      </c>
      <c r="D28" s="8" t="s">
        <v>430</v>
      </c>
      <c r="E28" s="8" t="s">
        <v>433</v>
      </c>
    </row>
    <row r="29" ht="15.75" customHeight="1">
      <c r="B29" s="6" t="s">
        <v>434</v>
      </c>
      <c r="C29" s="25">
        <f>-LN(1-C28)/30</f>
        <v>0.0305430244</v>
      </c>
      <c r="D29" s="8" t="s">
        <v>238</v>
      </c>
      <c r="E29" s="8" t="s">
        <v>435</v>
      </c>
    </row>
    <row r="30" ht="15.75" customHeight="1">
      <c r="B30" s="6" t="s">
        <v>436</v>
      </c>
      <c r="C30" s="15">
        <f>1-C9</f>
        <v>0.95</v>
      </c>
      <c r="D30" s="8" t="s">
        <v>148</v>
      </c>
      <c r="E30" s="8" t="s">
        <v>440</v>
      </c>
    </row>
    <row r="31" ht="15.75" customHeight="1">
      <c r="B31" s="6" t="s">
        <v>443</v>
      </c>
      <c r="C31" s="15">
        <v>0.164</v>
      </c>
      <c r="D31" s="8" t="s">
        <v>148</v>
      </c>
      <c r="E31" s="8" t="s">
        <v>445</v>
      </c>
    </row>
    <row r="32" ht="15.75" customHeight="1">
      <c r="B32" s="6" t="s">
        <v>447</v>
      </c>
      <c r="C32" s="15">
        <v>0.103</v>
      </c>
      <c r="D32" s="8" t="s">
        <v>148</v>
      </c>
      <c r="E32" s="8" t="s">
        <v>450</v>
      </c>
    </row>
    <row r="33" ht="15.75" customHeight="1">
      <c r="B33" s="6" t="s">
        <v>452</v>
      </c>
      <c r="C33" s="7">
        <v>34.1</v>
      </c>
      <c r="D33" s="8" t="s">
        <v>454</v>
      </c>
      <c r="E33" s="8" t="s">
        <v>456</v>
      </c>
    </row>
    <row r="34" ht="15.75" customHeight="1">
      <c r="B34" s="6" t="s">
        <v>458</v>
      </c>
      <c r="C34" s="7">
        <v>195997.4</v>
      </c>
      <c r="D34" s="8" t="s">
        <v>461</v>
      </c>
      <c r="E34" s="8" t="s">
        <v>463</v>
      </c>
    </row>
    <row r="35" ht="15.75" customHeight="1">
      <c r="B35" s="6" t="s">
        <v>465</v>
      </c>
      <c r="C35" s="7">
        <v>35488.3</v>
      </c>
      <c r="D35" s="8" t="s">
        <v>467</v>
      </c>
      <c r="E35" s="8" t="s">
        <v>470</v>
      </c>
    </row>
    <row r="36" ht="15.75" customHeight="1">
      <c r="B36" s="6" t="s">
        <v>471</v>
      </c>
      <c r="C36" s="15">
        <f>C35/(C34*365/1000)</f>
        <v>0.4960689233</v>
      </c>
      <c r="D36" s="8" t="s">
        <v>148</v>
      </c>
      <c r="E36" s="8" t="s">
        <v>472</v>
      </c>
    </row>
    <row r="37" ht="15.75" customHeight="1">
      <c r="B37" s="6" t="s">
        <v>473</v>
      </c>
      <c r="C37" s="7">
        <v>15.0</v>
      </c>
      <c r="D37" s="8" t="s">
        <v>474</v>
      </c>
      <c r="E37" s="8" t="s">
        <v>475</v>
      </c>
    </row>
    <row r="38" ht="15.75" customHeight="1">
      <c r="B38" s="6" t="s">
        <v>476</v>
      </c>
      <c r="C38" s="7">
        <v>9.0</v>
      </c>
      <c r="D38" s="8" t="s">
        <v>474</v>
      </c>
      <c r="E38" s="8" t="s">
        <v>477</v>
      </c>
    </row>
    <row r="39" ht="15.75" customHeight="1">
      <c r="B39" s="6" t="s">
        <v>480</v>
      </c>
      <c r="C39" s="7">
        <f>C37-C38</f>
        <v>6</v>
      </c>
      <c r="D39" s="8" t="s">
        <v>474</v>
      </c>
      <c r="E39" s="8" t="s">
        <v>482</v>
      </c>
    </row>
    <row r="40" ht="15.75" customHeight="1">
      <c r="B40" s="6" t="s">
        <v>484</v>
      </c>
      <c r="C40" s="7">
        <v>1.0</v>
      </c>
      <c r="D40" s="8" t="s">
        <v>474</v>
      </c>
      <c r="E40" s="8" t="s">
        <v>485</v>
      </c>
    </row>
    <row r="41" ht="15.75" customHeight="1">
      <c r="B41" s="6" t="s">
        <v>486</v>
      </c>
      <c r="C41" s="7">
        <v>3.0</v>
      </c>
      <c r="D41" s="8" t="s">
        <v>474</v>
      </c>
      <c r="E41" s="8" t="s">
        <v>487</v>
      </c>
    </row>
    <row r="42" ht="15.75" customHeight="1">
      <c r="B42" s="6" t="s">
        <v>488</v>
      </c>
      <c r="C42" s="7">
        <v>4.0</v>
      </c>
      <c r="D42" s="8" t="s">
        <v>474</v>
      </c>
      <c r="E42" s="8" t="s">
        <v>489</v>
      </c>
    </row>
    <row r="43" ht="15.75" customHeight="1">
      <c r="B43" s="6" t="s">
        <v>490</v>
      </c>
      <c r="C43" s="15">
        <f>(8.11+13.13+2.79)/100</f>
        <v>0.2403</v>
      </c>
      <c r="D43" s="8" t="s">
        <v>148</v>
      </c>
      <c r="E43" s="8" t="s">
        <v>495</v>
      </c>
    </row>
    <row r="44" ht="15.75" customHeight="1">
      <c r="B44" s="6" t="s">
        <v>497</v>
      </c>
      <c r="C44" s="7">
        <v>9.0E-4</v>
      </c>
      <c r="D44" s="8" t="s">
        <v>148</v>
      </c>
      <c r="E44" s="8" t="s">
        <v>499</v>
      </c>
    </row>
    <row r="45" ht="15.75" customHeight="1">
      <c r="B45" s="6" t="s">
        <v>501</v>
      </c>
      <c r="C45" s="7">
        <v>0.0511</v>
      </c>
      <c r="D45" s="8" t="s">
        <v>148</v>
      </c>
      <c r="E45" s="8" t="s">
        <v>505</v>
      </c>
    </row>
    <row r="46" ht="15.75" customHeight="1">
      <c r="B46" s="6" t="s">
        <v>506</v>
      </c>
      <c r="C46" s="7">
        <v>210.0</v>
      </c>
      <c r="D46" s="8" t="s">
        <v>223</v>
      </c>
      <c r="E46" s="8" t="s">
        <v>509</v>
      </c>
    </row>
    <row r="47" ht="15.75" customHeight="1">
      <c r="B47" s="6" t="s">
        <v>511</v>
      </c>
      <c r="C47" s="28">
        <f>Working!D70</f>
        <v>96181</v>
      </c>
      <c r="D47" s="8" t="s">
        <v>518</v>
      </c>
      <c r="E47" s="8" t="s">
        <v>519</v>
      </c>
    </row>
    <row r="48" ht="15.75" customHeight="1">
      <c r="B48" s="6" t="s">
        <v>522</v>
      </c>
      <c r="C48" s="30">
        <f>Working!F70</f>
        <v>4.079424526</v>
      </c>
      <c r="D48" s="8" t="s">
        <v>530</v>
      </c>
      <c r="E48" s="8" t="s">
        <v>532</v>
      </c>
    </row>
    <row r="49" ht="15.75" customHeight="1">
      <c r="B49" s="6" t="s">
        <v>533</v>
      </c>
      <c r="C49" s="28">
        <f>C48*C35</f>
        <v>144771.8414</v>
      </c>
      <c r="D49" s="8" t="s">
        <v>541</v>
      </c>
      <c r="E49" s="8" t="s">
        <v>542</v>
      </c>
    </row>
    <row r="50" ht="15.75" customHeight="1">
      <c r="B50" s="6" t="s">
        <v>543</v>
      </c>
      <c r="C50" s="23">
        <f>Working!G119</f>
        <v>155.9672534</v>
      </c>
      <c r="D50" s="8" t="s">
        <v>546</v>
      </c>
      <c r="E50" s="8" t="s">
        <v>547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4.0"/>
    <col customWidth="1" min="3" max="7" width="16.0"/>
    <col customWidth="1" min="8" max="8" width="22.0"/>
    <col customWidth="1" min="9" max="10" width="18.0"/>
    <col customWidth="1" min="11" max="11" width="12.0"/>
    <col customWidth="1" min="12" max="12" width="16.0"/>
    <col customWidth="1" min="13" max="13" width="18.0"/>
    <col customWidth="1" min="14" max="14" width="16.0"/>
    <col customWidth="1" min="15" max="15" width="18.0"/>
    <col customWidth="1" min="16" max="26" width="8.71"/>
  </cols>
  <sheetData>
    <row r="2">
      <c r="B2" s="1" t="s">
        <v>2</v>
      </c>
    </row>
    <row r="4">
      <c r="B4" s="3" t="s">
        <v>5</v>
      </c>
    </row>
    <row r="5">
      <c r="B5" s="2" t="s">
        <v>13</v>
      </c>
      <c r="C5" s="2" t="s">
        <v>16</v>
      </c>
      <c r="D5" s="2" t="s">
        <v>20</v>
      </c>
      <c r="E5" s="2" t="s">
        <v>24</v>
      </c>
      <c r="F5" s="2" t="s">
        <v>27</v>
      </c>
      <c r="G5" s="2" t="s">
        <v>31</v>
      </c>
      <c r="H5" s="2" t="s">
        <v>35</v>
      </c>
      <c r="I5" s="2" t="s">
        <v>39</v>
      </c>
      <c r="J5" s="2" t="s">
        <v>43</v>
      </c>
      <c r="K5" s="2" t="s">
        <v>47</v>
      </c>
      <c r="L5" s="2" t="s">
        <v>50</v>
      </c>
      <c r="M5" s="2" t="s">
        <v>54</v>
      </c>
      <c r="N5" s="2" t="s">
        <v>57</v>
      </c>
      <c r="O5" s="2" t="s">
        <v>60</v>
      </c>
    </row>
    <row r="6">
      <c r="B6" s="9">
        <v>2016.0</v>
      </c>
      <c r="C6" s="9">
        <v>134.48</v>
      </c>
      <c r="D6" s="9">
        <v>1.1</v>
      </c>
      <c r="E6" s="9">
        <v>122.26</v>
      </c>
      <c r="F6" s="9">
        <v>109.98</v>
      </c>
      <c r="G6" s="9">
        <v>0.994</v>
      </c>
      <c r="H6" s="9">
        <v>110.69</v>
      </c>
      <c r="I6" s="9"/>
      <c r="J6" s="9"/>
      <c r="K6" s="9"/>
      <c r="L6" s="11">
        <f t="shared" ref="L6:L16" si="1">D6-G6</f>
        <v>0.106</v>
      </c>
      <c r="M6" s="13">
        <f t="shared" ref="M6:M16" si="2">(C6-F6)/L6</f>
        <v>231.1320755</v>
      </c>
    </row>
    <row r="7">
      <c r="B7" s="9">
        <v>2017.0</v>
      </c>
      <c r="C7" s="9">
        <v>139.73</v>
      </c>
      <c r="D7" s="9">
        <v>1.192</v>
      </c>
      <c r="E7" s="9">
        <v>117.19</v>
      </c>
      <c r="F7" s="9">
        <v>91.72</v>
      </c>
      <c r="G7" s="9">
        <v>0.87</v>
      </c>
      <c r="H7" s="9">
        <v>105.4</v>
      </c>
      <c r="I7" s="9"/>
      <c r="J7" s="9"/>
      <c r="K7" s="9"/>
      <c r="L7" s="11">
        <f t="shared" si="1"/>
        <v>0.322</v>
      </c>
      <c r="M7" s="13">
        <f t="shared" si="2"/>
        <v>149.0993789</v>
      </c>
    </row>
    <row r="8">
      <c r="B8" s="9">
        <v>2018.0</v>
      </c>
      <c r="C8" s="9">
        <v>136.82</v>
      </c>
      <c r="D8" s="9">
        <v>0.874</v>
      </c>
      <c r="E8" s="9">
        <v>156.61</v>
      </c>
      <c r="F8" s="9">
        <v>71.25</v>
      </c>
      <c r="G8" s="9">
        <v>0.716</v>
      </c>
      <c r="H8" s="9">
        <v>99.58</v>
      </c>
      <c r="I8" s="9"/>
      <c r="J8" s="9"/>
      <c r="K8" s="9"/>
      <c r="L8" s="11">
        <f t="shared" si="1"/>
        <v>0.158</v>
      </c>
      <c r="M8" s="13">
        <f t="shared" si="2"/>
        <v>415</v>
      </c>
    </row>
    <row r="9">
      <c r="B9" s="9">
        <v>2019.0</v>
      </c>
      <c r="C9" s="9">
        <v>177.97</v>
      </c>
      <c r="D9" s="9">
        <v>1.04</v>
      </c>
      <c r="E9" s="9">
        <v>171.17</v>
      </c>
      <c r="F9" s="9">
        <v>90.75</v>
      </c>
      <c r="G9" s="9">
        <v>0.866</v>
      </c>
      <c r="H9" s="9">
        <v>104.75</v>
      </c>
      <c r="I9" s="9"/>
      <c r="J9" s="9"/>
      <c r="K9" s="9"/>
      <c r="L9" s="11">
        <f t="shared" si="1"/>
        <v>0.174</v>
      </c>
      <c r="M9" s="13">
        <f t="shared" si="2"/>
        <v>501.2643678</v>
      </c>
    </row>
    <row r="10">
      <c r="B10" s="9">
        <v>2020.0</v>
      </c>
      <c r="C10" s="9">
        <v>201.32</v>
      </c>
      <c r="D10" s="9">
        <v>1.057</v>
      </c>
      <c r="E10" s="9">
        <v>190.47</v>
      </c>
      <c r="F10" s="9">
        <v>91.4</v>
      </c>
      <c r="G10" s="9">
        <v>0.866</v>
      </c>
      <c r="H10" s="9">
        <v>105.51</v>
      </c>
      <c r="I10" s="9">
        <v>218.59</v>
      </c>
      <c r="J10" s="9">
        <v>1.195</v>
      </c>
      <c r="K10" s="9"/>
      <c r="L10" s="11">
        <f t="shared" si="1"/>
        <v>0.191</v>
      </c>
      <c r="M10" s="13">
        <f t="shared" si="2"/>
        <v>575.4973822</v>
      </c>
      <c r="N10" s="11">
        <f t="shared" ref="N10:N15" si="3">J10-G10</f>
        <v>0.329</v>
      </c>
      <c r="O10" s="13">
        <f t="shared" ref="O10:O15" si="4">(I10-F10)/N10</f>
        <v>386.5957447</v>
      </c>
    </row>
    <row r="11">
      <c r="B11" s="9">
        <v>2021.0</v>
      </c>
      <c r="C11" s="9">
        <v>179.79</v>
      </c>
      <c r="D11" s="9">
        <v>1.112</v>
      </c>
      <c r="E11" s="9">
        <v>161.7</v>
      </c>
      <c r="F11" s="9">
        <v>103.82</v>
      </c>
      <c r="G11" s="9">
        <v>0.96</v>
      </c>
      <c r="H11" s="9">
        <v>108.1</v>
      </c>
      <c r="I11" s="9">
        <v>319.91</v>
      </c>
      <c r="J11" s="9">
        <v>1.397</v>
      </c>
      <c r="K11" s="9"/>
      <c r="L11" s="11">
        <f t="shared" si="1"/>
        <v>0.152</v>
      </c>
      <c r="M11" s="13">
        <f t="shared" si="2"/>
        <v>499.8026316</v>
      </c>
      <c r="N11" s="11">
        <f t="shared" si="3"/>
        <v>0.437</v>
      </c>
      <c r="O11" s="13">
        <f t="shared" si="4"/>
        <v>494.4851259</v>
      </c>
    </row>
    <row r="12">
      <c r="B12" s="9">
        <v>2022.0</v>
      </c>
      <c r="C12" s="9">
        <v>131.13</v>
      </c>
      <c r="D12" s="9">
        <v>1.08</v>
      </c>
      <c r="E12" s="9">
        <v>121.45</v>
      </c>
      <c r="F12" s="9">
        <v>101.03</v>
      </c>
      <c r="G12" s="9">
        <v>0.964</v>
      </c>
      <c r="H12" s="9">
        <v>104.83</v>
      </c>
      <c r="I12" s="9">
        <v>205.83</v>
      </c>
      <c r="J12" s="9">
        <v>1.285</v>
      </c>
      <c r="K12" s="9"/>
      <c r="L12" s="11">
        <f t="shared" si="1"/>
        <v>0.116</v>
      </c>
      <c r="M12" s="13">
        <f t="shared" si="2"/>
        <v>259.4827586</v>
      </c>
      <c r="N12" s="11">
        <f t="shared" si="3"/>
        <v>0.321</v>
      </c>
      <c r="O12" s="13">
        <f t="shared" si="4"/>
        <v>326.4797508</v>
      </c>
    </row>
    <row r="13">
      <c r="B13" s="9">
        <v>2023.0</v>
      </c>
      <c r="C13" s="9">
        <v>115.9</v>
      </c>
      <c r="D13" s="9">
        <v>1.036</v>
      </c>
      <c r="E13" s="9">
        <v>111.93</v>
      </c>
      <c r="F13" s="9">
        <v>95.86</v>
      </c>
      <c r="G13" s="9">
        <v>0.937</v>
      </c>
      <c r="H13" s="9">
        <v>102.31</v>
      </c>
      <c r="I13" s="9">
        <v>205.6</v>
      </c>
      <c r="J13" s="9">
        <v>1.269</v>
      </c>
      <c r="K13" s="9">
        <v>6.0</v>
      </c>
      <c r="L13" s="11">
        <f t="shared" si="1"/>
        <v>0.099</v>
      </c>
      <c r="M13" s="13">
        <f t="shared" si="2"/>
        <v>202.4242424</v>
      </c>
      <c r="N13" s="11">
        <f t="shared" si="3"/>
        <v>0.332</v>
      </c>
      <c r="O13" s="13">
        <f t="shared" si="4"/>
        <v>330.5421687</v>
      </c>
    </row>
    <row r="14">
      <c r="B14" s="9">
        <v>2024.0</v>
      </c>
      <c r="C14" s="9">
        <v>158.3</v>
      </c>
      <c r="D14" s="9">
        <v>0.99</v>
      </c>
      <c r="E14" s="9">
        <v>159.96</v>
      </c>
      <c r="F14" s="9">
        <v>100.25</v>
      </c>
      <c r="G14" s="9">
        <v>0.901</v>
      </c>
      <c r="H14" s="9">
        <v>111.25</v>
      </c>
      <c r="I14" s="9">
        <v>186.33</v>
      </c>
      <c r="J14" s="9">
        <v>1.25</v>
      </c>
      <c r="K14" s="9">
        <v>5.0</v>
      </c>
      <c r="L14" s="11">
        <f t="shared" si="1"/>
        <v>0.089</v>
      </c>
      <c r="M14" s="13">
        <f t="shared" si="2"/>
        <v>652.247191</v>
      </c>
      <c r="N14" s="11">
        <f t="shared" si="3"/>
        <v>0.349</v>
      </c>
      <c r="O14" s="13">
        <f t="shared" si="4"/>
        <v>246.6475645</v>
      </c>
    </row>
    <row r="15">
      <c r="B15" s="9">
        <v>2025.0</v>
      </c>
      <c r="C15" s="9">
        <v>545.01</v>
      </c>
      <c r="D15" s="9">
        <v>1.39</v>
      </c>
      <c r="E15" s="9">
        <v>392.1</v>
      </c>
      <c r="F15" s="9">
        <v>116.37</v>
      </c>
      <c r="G15" s="9">
        <v>0.963</v>
      </c>
      <c r="H15" s="9">
        <v>120.79</v>
      </c>
      <c r="I15" s="9">
        <v>198.18</v>
      </c>
      <c r="J15" s="9">
        <v>1.216</v>
      </c>
      <c r="K15" s="9">
        <v>21.0</v>
      </c>
      <c r="L15" s="11">
        <f t="shared" si="1"/>
        <v>0.427</v>
      </c>
      <c r="M15" s="13">
        <f t="shared" si="2"/>
        <v>1003.840749</v>
      </c>
      <c r="N15" s="11">
        <f t="shared" si="3"/>
        <v>0.253</v>
      </c>
      <c r="O15" s="13">
        <f t="shared" si="4"/>
        <v>323.3596838</v>
      </c>
    </row>
    <row r="16">
      <c r="B16" s="3" t="s">
        <v>343</v>
      </c>
      <c r="C16" s="11">
        <f t="shared" ref="C16:H16" si="5">AVERAGE(C6:C15)</f>
        <v>192.045</v>
      </c>
      <c r="D16" s="11">
        <f t="shared" si="5"/>
        <v>1.0871</v>
      </c>
      <c r="E16" s="11">
        <f t="shared" si="5"/>
        <v>170.484</v>
      </c>
      <c r="F16" s="11">
        <f t="shared" si="5"/>
        <v>97.243</v>
      </c>
      <c r="G16" s="11">
        <f t="shared" si="5"/>
        <v>0.9037</v>
      </c>
      <c r="H16" s="11">
        <f t="shared" si="5"/>
        <v>107.321</v>
      </c>
      <c r="L16" s="11">
        <f t="shared" si="1"/>
        <v>0.1834</v>
      </c>
      <c r="M16" s="13">
        <f t="shared" si="2"/>
        <v>516.9138495</v>
      </c>
    </row>
    <row r="17">
      <c r="B17" s="20" t="s">
        <v>385</v>
      </c>
    </row>
    <row r="19">
      <c r="B19" s="3" t="s">
        <v>393</v>
      </c>
    </row>
    <row r="20">
      <c r="B20" s="2" t="s">
        <v>394</v>
      </c>
      <c r="C20" s="2" t="s">
        <v>396</v>
      </c>
      <c r="D20" s="2" t="s">
        <v>397</v>
      </c>
      <c r="E20" s="2" t="s">
        <v>398</v>
      </c>
      <c r="F20" s="2" t="s">
        <v>399</v>
      </c>
      <c r="G20" s="2" t="s">
        <v>401</v>
      </c>
      <c r="H20" s="2" t="s">
        <v>403</v>
      </c>
      <c r="I20" s="2" t="s">
        <v>404</v>
      </c>
      <c r="J20" s="2" t="s">
        <v>405</v>
      </c>
      <c r="K20" s="2" t="s">
        <v>406</v>
      </c>
      <c r="L20" s="2" t="s">
        <v>407</v>
      </c>
      <c r="M20" s="2" t="s">
        <v>408</v>
      </c>
      <c r="N20" s="2" t="s">
        <v>409</v>
      </c>
      <c r="O20" s="2" t="s">
        <v>410</v>
      </c>
    </row>
    <row r="21" ht="15.75" customHeight="1">
      <c r="B21" s="22">
        <v>380461.0</v>
      </c>
      <c r="C21" s="22">
        <v>131697.0</v>
      </c>
      <c r="D21" s="22">
        <v>22453.0</v>
      </c>
      <c r="E21" s="22">
        <v>12848.0</v>
      </c>
      <c r="F21" s="22">
        <v>23835.0</v>
      </c>
      <c r="G21" s="22">
        <v>12966.0</v>
      </c>
      <c r="H21" s="22">
        <v>51329.0</v>
      </c>
      <c r="I21" s="22">
        <v>62121.0</v>
      </c>
      <c r="J21" s="22">
        <v>13782.0</v>
      </c>
      <c r="K21" s="22">
        <v>942.0</v>
      </c>
      <c r="L21" s="22">
        <v>53.0</v>
      </c>
      <c r="M21" s="22">
        <v>734.0</v>
      </c>
      <c r="N21" s="22">
        <v>17951.0</v>
      </c>
      <c r="O21" s="22">
        <v>731172.0</v>
      </c>
    </row>
    <row r="22" ht="15.75" customHeight="1">
      <c r="B22" s="24">
        <f t="shared" ref="B22:N22" si="6">B21/$O$21</f>
        <v>0.5203440504</v>
      </c>
      <c r="C22" s="24">
        <f t="shared" si="6"/>
        <v>0.1801176741</v>
      </c>
      <c r="D22" s="24">
        <f t="shared" si="6"/>
        <v>0.03070823281</v>
      </c>
      <c r="E22" s="24">
        <f t="shared" si="6"/>
        <v>0.01757178885</v>
      </c>
      <c r="F22" s="24">
        <f t="shared" si="6"/>
        <v>0.03259834895</v>
      </c>
      <c r="G22" s="24">
        <f t="shared" si="6"/>
        <v>0.01773317359</v>
      </c>
      <c r="H22" s="24">
        <f t="shared" si="6"/>
        <v>0.07020099238</v>
      </c>
      <c r="I22" s="24">
        <f t="shared" si="6"/>
        <v>0.08496085736</v>
      </c>
      <c r="J22" s="24">
        <f t="shared" si="6"/>
        <v>0.01884919007</v>
      </c>
      <c r="K22" s="24">
        <f t="shared" si="6"/>
        <v>0.001288342551</v>
      </c>
      <c r="L22" s="24">
        <f t="shared" si="6"/>
        <v>0.00007248636436</v>
      </c>
      <c r="M22" s="24">
        <f t="shared" si="6"/>
        <v>0.001003867763</v>
      </c>
      <c r="N22" s="24">
        <f t="shared" si="6"/>
        <v>0.02455099484</v>
      </c>
      <c r="O22" s="20" t="s">
        <v>439</v>
      </c>
    </row>
    <row r="23" ht="15.75" customHeight="1"/>
    <row r="24" ht="15.75" customHeight="1">
      <c r="B24" s="3" t="s">
        <v>444</v>
      </c>
    </row>
    <row r="25" ht="15.75" customHeight="1">
      <c r="B25" s="2" t="s">
        <v>446</v>
      </c>
      <c r="C25" s="2" t="s">
        <v>448</v>
      </c>
      <c r="D25" s="2" t="s">
        <v>449</v>
      </c>
      <c r="E25" s="2" t="s">
        <v>451</v>
      </c>
      <c r="F25" s="2" t="s">
        <v>453</v>
      </c>
      <c r="G25" s="2" t="s">
        <v>455</v>
      </c>
      <c r="H25" s="2" t="s">
        <v>457</v>
      </c>
      <c r="I25" s="2" t="s">
        <v>459</v>
      </c>
      <c r="J25" s="2" t="s">
        <v>460</v>
      </c>
      <c r="K25" s="2" t="s">
        <v>462</v>
      </c>
      <c r="L25" s="2" t="s">
        <v>464</v>
      </c>
    </row>
    <row r="26" ht="15.75" customHeight="1">
      <c r="B26" s="9" t="s">
        <v>468</v>
      </c>
      <c r="C26" s="9">
        <v>537.0</v>
      </c>
      <c r="D26" s="9">
        <v>35488.3</v>
      </c>
      <c r="E26" s="9">
        <v>37707.0</v>
      </c>
      <c r="F26" s="9">
        <v>25428.0</v>
      </c>
      <c r="G26" s="9">
        <v>12069.0</v>
      </c>
      <c r="H26" s="9">
        <v>210.0</v>
      </c>
      <c r="I26" s="9">
        <v>220.0</v>
      </c>
      <c r="J26" s="9">
        <v>17502.0</v>
      </c>
      <c r="K26" s="26">
        <f t="shared" ref="K26:K29" si="7">E26/D26</f>
        <v>1.062519196</v>
      </c>
      <c r="L26" s="13">
        <f t="shared" ref="L26:L29" si="8">E26/C26</f>
        <v>70.21787709</v>
      </c>
    </row>
    <row r="27" ht="15.75" customHeight="1">
      <c r="B27" s="9" t="s">
        <v>478</v>
      </c>
      <c r="C27" s="9">
        <v>294.6</v>
      </c>
      <c r="D27" s="9">
        <v>2028.3</v>
      </c>
      <c r="E27" s="9">
        <v>1982.0</v>
      </c>
      <c r="F27" s="9">
        <v>1001.0</v>
      </c>
      <c r="G27" s="9">
        <v>937.0</v>
      </c>
      <c r="H27" s="9">
        <v>44.0</v>
      </c>
      <c r="I27" s="9">
        <v>47.0</v>
      </c>
      <c r="J27" s="9">
        <v>1415.0</v>
      </c>
      <c r="K27" s="26">
        <f t="shared" si="7"/>
        <v>0.977173002</v>
      </c>
      <c r="L27" s="13">
        <f t="shared" si="8"/>
        <v>6.727766463</v>
      </c>
    </row>
    <row r="28" ht="15.75" customHeight="1">
      <c r="B28" s="9" t="s">
        <v>483</v>
      </c>
      <c r="C28" s="9">
        <v>831.7</v>
      </c>
      <c r="D28" s="9">
        <v>37516.6</v>
      </c>
      <c r="E28" s="9">
        <v>39689.0</v>
      </c>
      <c r="F28" s="9">
        <v>26429.0</v>
      </c>
      <c r="G28" s="9">
        <v>13006.0</v>
      </c>
      <c r="H28" s="9">
        <v>254.0</v>
      </c>
      <c r="I28" s="9">
        <v>267.0</v>
      </c>
      <c r="J28" s="9">
        <v>18917.0</v>
      </c>
      <c r="K28" s="26">
        <f t="shared" si="7"/>
        <v>1.057905034</v>
      </c>
      <c r="L28" s="13">
        <f t="shared" si="8"/>
        <v>47.72033185</v>
      </c>
    </row>
    <row r="29" ht="15.75" customHeight="1">
      <c r="B29" s="9" t="s">
        <v>491</v>
      </c>
      <c r="C29" s="9">
        <v>15001.5</v>
      </c>
      <c r="D29" s="9">
        <v>182117.3</v>
      </c>
      <c r="E29" s="9">
        <v>147704.0</v>
      </c>
      <c r="F29" s="9">
        <v>95171.0</v>
      </c>
      <c r="G29" s="9">
        <v>50904.0</v>
      </c>
      <c r="H29" s="9">
        <v>1629.0</v>
      </c>
      <c r="I29" s="9">
        <v>1772.0</v>
      </c>
      <c r="J29" s="9">
        <v>73827.0</v>
      </c>
      <c r="K29" s="26">
        <f t="shared" si="7"/>
        <v>0.8110377213</v>
      </c>
      <c r="L29" s="13">
        <f t="shared" si="8"/>
        <v>9.845948738</v>
      </c>
    </row>
    <row r="30" ht="15.75" customHeight="1"/>
    <row r="31" ht="15.75" customHeight="1">
      <c r="B31" s="3" t="s">
        <v>498</v>
      </c>
    </row>
    <row r="32" ht="15.75" customHeight="1">
      <c r="B32" s="9" t="s">
        <v>500</v>
      </c>
      <c r="C32" s="9">
        <v>29.6</v>
      </c>
    </row>
    <row r="33" ht="15.75" customHeight="1">
      <c r="B33" s="9" t="s">
        <v>502</v>
      </c>
      <c r="C33" s="9" t="s">
        <v>504</v>
      </c>
    </row>
    <row r="34" ht="15.75" customHeight="1">
      <c r="B34" s="9" t="s">
        <v>507</v>
      </c>
      <c r="C34" s="9" t="s">
        <v>508</v>
      </c>
    </row>
    <row r="35" ht="15.75" customHeight="1">
      <c r="B35" s="9" t="s">
        <v>512</v>
      </c>
      <c r="C35" s="9">
        <v>0.18</v>
      </c>
    </row>
    <row r="36" ht="15.75" customHeight="1">
      <c r="B36" s="9" t="s">
        <v>513</v>
      </c>
      <c r="C36" s="9">
        <v>0.02</v>
      </c>
    </row>
    <row r="37" ht="15.75" customHeight="1">
      <c r="B37" s="9" t="s">
        <v>514</v>
      </c>
      <c r="C37" s="9" t="s">
        <v>515</v>
      </c>
    </row>
    <row r="38" ht="15.75" customHeight="1">
      <c r="B38" s="9" t="s">
        <v>516</v>
      </c>
      <c r="C38" s="9">
        <v>37.0</v>
      </c>
    </row>
    <row r="39" ht="15.75" customHeight="1">
      <c r="B39" s="9" t="s">
        <v>517</v>
      </c>
      <c r="C39" s="9">
        <v>30.0</v>
      </c>
    </row>
    <row r="40" ht="15.75" customHeight="1">
      <c r="B40" s="9" t="s">
        <v>520</v>
      </c>
      <c r="C40" s="9" t="s">
        <v>521</v>
      </c>
    </row>
    <row r="41" ht="15.75" customHeight="1">
      <c r="B41" s="9" t="s">
        <v>523</v>
      </c>
      <c r="C41" s="9" t="s">
        <v>524</v>
      </c>
    </row>
    <row r="42" ht="15.75" customHeight="1">
      <c r="B42" s="9" t="s">
        <v>526</v>
      </c>
      <c r="C42" s="9" t="s">
        <v>527</v>
      </c>
    </row>
    <row r="43" ht="15.75" customHeight="1">
      <c r="B43" s="9" t="s">
        <v>529</v>
      </c>
      <c r="C43" s="9">
        <v>0.006</v>
      </c>
    </row>
    <row r="44" ht="15.75" customHeight="1"/>
    <row r="45" ht="15.75" customHeight="1">
      <c r="B45" s="3" t="s">
        <v>531</v>
      </c>
    </row>
    <row r="46" ht="15.75" customHeight="1">
      <c r="B46" s="2" t="s">
        <v>13</v>
      </c>
      <c r="C46" s="2" t="s">
        <v>534</v>
      </c>
      <c r="D46" s="2" t="s">
        <v>535</v>
      </c>
      <c r="E46" s="2" t="s">
        <v>536</v>
      </c>
      <c r="F46" s="2" t="s">
        <v>537</v>
      </c>
      <c r="G46" s="2" t="s">
        <v>538</v>
      </c>
      <c r="H46" s="2" t="s">
        <v>539</v>
      </c>
    </row>
    <row r="47" ht="15.75" customHeight="1">
      <c r="B47" s="9">
        <v>2020.0</v>
      </c>
      <c r="C47" s="9">
        <v>13.0</v>
      </c>
      <c r="D47" s="9">
        <v>6.0</v>
      </c>
      <c r="E47" s="9">
        <v>3.0</v>
      </c>
      <c r="F47" s="9">
        <v>1.0</v>
      </c>
      <c r="G47" s="9">
        <v>2.0</v>
      </c>
      <c r="H47" s="9" t="s">
        <v>540</v>
      </c>
    </row>
    <row r="48" ht="15.75" customHeight="1">
      <c r="B48" s="9">
        <v>2021.0</v>
      </c>
      <c r="C48" s="9">
        <v>10.0</v>
      </c>
      <c r="D48" s="9">
        <v>6.0</v>
      </c>
      <c r="E48" s="9">
        <v>1.0</v>
      </c>
      <c r="F48" s="9">
        <v>0.0</v>
      </c>
      <c r="G48" s="9">
        <v>0.0</v>
      </c>
      <c r="H48" s="9" t="s">
        <v>544</v>
      </c>
    </row>
    <row r="49" ht="15.75" customHeight="1">
      <c r="B49" s="9">
        <v>2022.0</v>
      </c>
      <c r="C49" s="9">
        <v>5.0</v>
      </c>
      <c r="D49" s="9">
        <v>1.0</v>
      </c>
      <c r="E49" s="9">
        <v>1.0</v>
      </c>
      <c r="F49" s="9">
        <v>0.0</v>
      </c>
      <c r="G49" s="9">
        <v>1.0</v>
      </c>
      <c r="H49" s="9" t="s">
        <v>545</v>
      </c>
    </row>
    <row r="50" ht="15.75" customHeight="1">
      <c r="B50" s="9">
        <v>2023.0</v>
      </c>
      <c r="C50" s="9">
        <v>3.0</v>
      </c>
      <c r="D50" s="9">
        <v>1.0</v>
      </c>
      <c r="E50" s="9">
        <v>0.0</v>
      </c>
      <c r="F50" s="9">
        <v>0.0</v>
      </c>
      <c r="G50" s="9">
        <v>0.0</v>
      </c>
      <c r="H50" s="9" t="s">
        <v>548</v>
      </c>
    </row>
    <row r="51" ht="15.75" customHeight="1">
      <c r="B51" s="9">
        <v>2024.0</v>
      </c>
      <c r="C51" s="9">
        <v>33.0</v>
      </c>
      <c r="D51" s="9">
        <v>6.0</v>
      </c>
      <c r="E51" s="9">
        <v>3.0</v>
      </c>
      <c r="F51" s="9">
        <v>2.0</v>
      </c>
      <c r="G51" s="9">
        <v>2.0</v>
      </c>
      <c r="H51" s="9" t="s">
        <v>551</v>
      </c>
    </row>
    <row r="52" ht="15.75" customHeight="1">
      <c r="B52" s="9">
        <v>2025.0</v>
      </c>
      <c r="C52" s="9">
        <v>16.0</v>
      </c>
      <c r="D52" s="9">
        <v>7.0</v>
      </c>
      <c r="E52" s="9">
        <v>5.0</v>
      </c>
      <c r="F52" s="9">
        <v>3.0</v>
      </c>
      <c r="G52" s="9">
        <v>3.0</v>
      </c>
      <c r="H52" s="9" t="s">
        <v>555</v>
      </c>
    </row>
    <row r="53" ht="15.75" customHeight="1">
      <c r="B53" s="3" t="s">
        <v>556</v>
      </c>
      <c r="C53" s="9" t="str">
        <f t="shared" ref="C53:G53" si="9">SUM(C47:C52)&amp;" / "&amp;TEXT(SUM(C47:C52)/6,"0.0")</f>
        <v>80 / 13.3</v>
      </c>
      <c r="D53" s="9" t="str">
        <f t="shared" si="9"/>
        <v>27 / 4.5</v>
      </c>
      <c r="E53" s="9" t="str">
        <f t="shared" si="9"/>
        <v>13 / 2.2</v>
      </c>
      <c r="F53" s="9" t="str">
        <f t="shared" si="9"/>
        <v>6 / 1.0</v>
      </c>
      <c r="G53" s="9" t="str">
        <f t="shared" si="9"/>
        <v>8 / 1.3</v>
      </c>
    </row>
    <row r="54" ht="15.75" customHeight="1"/>
    <row r="55" ht="15.75" customHeight="1">
      <c r="B55" s="3" t="s">
        <v>557</v>
      </c>
    </row>
    <row r="56" ht="15.75" customHeight="1">
      <c r="B56" s="2" t="s">
        <v>559</v>
      </c>
      <c r="C56" s="2" t="s">
        <v>561</v>
      </c>
      <c r="D56" s="2" t="s">
        <v>562</v>
      </c>
      <c r="E56" s="2" t="s">
        <v>565</v>
      </c>
      <c r="F56" s="2" t="s">
        <v>566</v>
      </c>
    </row>
    <row r="57" ht="15.75" customHeight="1">
      <c r="B57" s="9" t="s">
        <v>567</v>
      </c>
      <c r="C57" s="9">
        <v>0.91</v>
      </c>
      <c r="D57" s="9">
        <v>2.42</v>
      </c>
      <c r="E57" s="11">
        <f t="shared" ref="E57:E61" si="10">C57/D57</f>
        <v>0.3760330579</v>
      </c>
      <c r="F57" s="24">
        <v>-0.6244</v>
      </c>
    </row>
    <row r="58" ht="15.75" customHeight="1">
      <c r="B58" s="9" t="s">
        <v>569</v>
      </c>
      <c r="C58" s="9">
        <v>0.27</v>
      </c>
      <c r="D58" s="9">
        <v>1.19</v>
      </c>
      <c r="E58" s="11">
        <f t="shared" si="10"/>
        <v>0.2268907563</v>
      </c>
      <c r="F58" s="24">
        <v>-0.7728</v>
      </c>
    </row>
    <row r="59" ht="15.75" customHeight="1">
      <c r="B59" s="9" t="s">
        <v>570</v>
      </c>
      <c r="C59" s="9">
        <v>0.0</v>
      </c>
      <c r="D59" s="9">
        <v>0.15</v>
      </c>
      <c r="E59" s="11">
        <f t="shared" si="10"/>
        <v>0</v>
      </c>
      <c r="F59" s="24">
        <v>-1.0</v>
      </c>
    </row>
    <row r="60" ht="15.75" customHeight="1">
      <c r="B60" s="9" t="s">
        <v>571</v>
      </c>
      <c r="C60" s="9">
        <v>0.71</v>
      </c>
      <c r="D60" s="9">
        <v>3.91</v>
      </c>
      <c r="E60" s="11">
        <f t="shared" si="10"/>
        <v>0.1815856777</v>
      </c>
      <c r="F60" s="24">
        <v>-0.8193</v>
      </c>
    </row>
    <row r="61" ht="15.75" customHeight="1">
      <c r="B61" s="9" t="s">
        <v>572</v>
      </c>
      <c r="C61" s="9">
        <v>0.01</v>
      </c>
      <c r="D61" s="9">
        <v>0.23</v>
      </c>
      <c r="E61" s="11">
        <f t="shared" si="10"/>
        <v>0.04347826087</v>
      </c>
      <c r="F61" s="24">
        <v>-0.9405</v>
      </c>
    </row>
    <row r="62" ht="15.75" customHeight="1">
      <c r="B62" s="20" t="s">
        <v>573</v>
      </c>
    </row>
    <row r="63" ht="15.75" customHeight="1"/>
    <row r="64" ht="15.75" customHeight="1">
      <c r="B64" s="3" t="s">
        <v>574</v>
      </c>
    </row>
    <row r="65" ht="15.75" customHeight="1">
      <c r="B65" s="2" t="s">
        <v>575</v>
      </c>
      <c r="C65" s="2" t="s">
        <v>576</v>
      </c>
      <c r="D65" s="2" t="s">
        <v>577</v>
      </c>
      <c r="E65" s="2" t="s">
        <v>578</v>
      </c>
      <c r="F65" s="2" t="s">
        <v>579</v>
      </c>
      <c r="G65" s="2" t="s">
        <v>581</v>
      </c>
      <c r="H65" s="2" t="s">
        <v>583</v>
      </c>
    </row>
    <row r="66" ht="15.75" customHeight="1">
      <c r="B66" s="9" t="s">
        <v>586</v>
      </c>
      <c r="C66" s="9">
        <v>90.0</v>
      </c>
      <c r="D66" s="31">
        <v>23903.0</v>
      </c>
      <c r="E66" s="32">
        <v>7693.3</v>
      </c>
      <c r="F66" s="33">
        <f t="shared" ref="F66:F69" si="11">IF(D66&gt;0,D66/E66,"n/a")</f>
        <v>3.106989198</v>
      </c>
      <c r="G66" s="9">
        <v>22.1</v>
      </c>
      <c r="H66" s="9" t="s">
        <v>591</v>
      </c>
    </row>
    <row r="67" ht="15.75" customHeight="1">
      <c r="B67" s="9" t="s">
        <v>592</v>
      </c>
      <c r="C67" s="9">
        <v>91.0</v>
      </c>
      <c r="D67" s="31">
        <v>0.0</v>
      </c>
      <c r="E67" s="32">
        <v>7938.4</v>
      </c>
      <c r="F67" s="33" t="str">
        <f t="shared" si="11"/>
        <v>n/a</v>
      </c>
      <c r="G67" s="9">
        <v>23.3</v>
      </c>
      <c r="H67" s="9" t="s">
        <v>593</v>
      </c>
    </row>
    <row r="68" ht="15.75" customHeight="1">
      <c r="B68" s="9" t="s">
        <v>594</v>
      </c>
      <c r="C68" s="9">
        <v>92.0</v>
      </c>
      <c r="D68" s="31">
        <v>33982.0</v>
      </c>
      <c r="E68" s="32">
        <v>7966.9</v>
      </c>
      <c r="F68" s="33">
        <f t="shared" si="11"/>
        <v>4.265398085</v>
      </c>
      <c r="G68" s="9">
        <v>20.3</v>
      </c>
      <c r="H68" s="9" t="s">
        <v>595</v>
      </c>
    </row>
    <row r="69" ht="15.75" customHeight="1">
      <c r="B69" s="9" t="s">
        <v>596</v>
      </c>
      <c r="C69" s="9">
        <v>92.0</v>
      </c>
      <c r="D69" s="31">
        <v>38296.0</v>
      </c>
      <c r="E69" s="32">
        <v>7916.9</v>
      </c>
      <c r="F69" s="33">
        <f t="shared" si="11"/>
        <v>4.837246902</v>
      </c>
      <c r="G69" s="9">
        <v>16.3</v>
      </c>
      <c r="H69" s="9" t="s">
        <v>595</v>
      </c>
    </row>
    <row r="70" ht="15.75" customHeight="1">
      <c r="B70" s="3" t="s">
        <v>601</v>
      </c>
      <c r="C70" s="9">
        <f t="shared" ref="C70:E70" si="12">C66+C68+C69</f>
        <v>274</v>
      </c>
      <c r="D70" s="31">
        <f t="shared" si="12"/>
        <v>96181</v>
      </c>
      <c r="E70" s="32">
        <f t="shared" si="12"/>
        <v>23577.1</v>
      </c>
      <c r="F70" s="33">
        <f t="shared" ref="F70:F71" si="14">D70/E70</f>
        <v>4.079424526</v>
      </c>
      <c r="G70" s="9"/>
      <c r="H70" s="9" t="s">
        <v>606</v>
      </c>
    </row>
    <row r="71" ht="15.75" customHeight="1">
      <c r="B71" s="3" t="s">
        <v>607</v>
      </c>
      <c r="C71" s="9">
        <f t="shared" ref="C71:E71" si="13">C68+C69</f>
        <v>184</v>
      </c>
      <c r="D71" s="31">
        <f t="shared" si="13"/>
        <v>72278</v>
      </c>
      <c r="E71" s="32">
        <f t="shared" si="13"/>
        <v>15883.8</v>
      </c>
      <c r="F71" s="33">
        <f t="shared" si="14"/>
        <v>4.550422443</v>
      </c>
      <c r="G71" s="9"/>
      <c r="H71" s="9" t="s">
        <v>608</v>
      </c>
    </row>
    <row r="72" ht="15.75" customHeight="1">
      <c r="B72" s="3" t="s">
        <v>609</v>
      </c>
      <c r="C72" s="9"/>
      <c r="D72" s="31">
        <f>D70*365/C70</f>
        <v>128124.3248</v>
      </c>
      <c r="E72" s="32">
        <f>E70*365/C70</f>
        <v>31407.45073</v>
      </c>
      <c r="F72" s="33"/>
      <c r="G72" s="9"/>
      <c r="H72" s="9"/>
    </row>
    <row r="73" ht="15.75" customHeight="1">
      <c r="B73" s="20" t="s">
        <v>612</v>
      </c>
    </row>
    <row r="74" ht="15.75" customHeight="1"/>
    <row r="75" ht="15.75" customHeight="1">
      <c r="B75" s="3" t="s">
        <v>615</v>
      </c>
    </row>
    <row r="76" ht="15.75" customHeight="1">
      <c r="B76" s="2" t="s">
        <v>616</v>
      </c>
      <c r="C76" s="2" t="s">
        <v>617</v>
      </c>
      <c r="D76" s="2" t="s">
        <v>618</v>
      </c>
      <c r="E76" s="2" t="s">
        <v>619</v>
      </c>
      <c r="F76" s="2" t="s">
        <v>620</v>
      </c>
    </row>
    <row r="77" ht="15.75" customHeight="1">
      <c r="B77" s="9" t="s">
        <v>621</v>
      </c>
      <c r="C77" s="9">
        <v>38887.0</v>
      </c>
      <c r="D77" s="37">
        <f t="shared" ref="D77:D84" si="15">C77/$C$85</f>
        <v>0.1635611898</v>
      </c>
      <c r="E77" s="9">
        <v>24.4</v>
      </c>
      <c r="F77" s="9">
        <v>16.9</v>
      </c>
    </row>
    <row r="78" ht="15.75" customHeight="1">
      <c r="B78" s="9" t="s">
        <v>623</v>
      </c>
      <c r="C78" s="9">
        <v>39281.0</v>
      </c>
      <c r="D78" s="37">
        <f t="shared" si="15"/>
        <v>0.1652183788</v>
      </c>
      <c r="E78" s="9">
        <v>17.8</v>
      </c>
      <c r="F78" s="9">
        <v>15.2</v>
      </c>
    </row>
    <row r="79" ht="15.75" customHeight="1">
      <c r="B79" s="9" t="s">
        <v>625</v>
      </c>
      <c r="C79" s="9">
        <v>33401.0</v>
      </c>
      <c r="D79" s="37">
        <f t="shared" si="15"/>
        <v>0.1404867257</v>
      </c>
      <c r="E79" s="9">
        <v>18.8</v>
      </c>
      <c r="F79" s="9">
        <v>15.9</v>
      </c>
    </row>
    <row r="80" ht="15.75" customHeight="1">
      <c r="B80" s="9" t="s">
        <v>626</v>
      </c>
      <c r="C80" s="9">
        <v>15389.0</v>
      </c>
      <c r="D80" s="37">
        <f t="shared" si="15"/>
        <v>0.0647271106</v>
      </c>
      <c r="E80" s="9">
        <v>12.4</v>
      </c>
      <c r="F80" s="9">
        <v>10.8</v>
      </c>
    </row>
    <row r="81" ht="15.75" customHeight="1">
      <c r="B81" s="9" t="s">
        <v>630</v>
      </c>
      <c r="C81" s="9">
        <v>11176.0</v>
      </c>
      <c r="D81" s="37">
        <f t="shared" si="15"/>
        <v>0.04700696524</v>
      </c>
      <c r="E81" s="9">
        <v>16.2</v>
      </c>
      <c r="F81" s="9">
        <v>13.5</v>
      </c>
    </row>
    <row r="82" ht="15.75" customHeight="1">
      <c r="B82" s="9" t="s">
        <v>631</v>
      </c>
      <c r="C82" s="9">
        <v>5758.0</v>
      </c>
      <c r="D82" s="37">
        <f t="shared" si="15"/>
        <v>0.02421851341</v>
      </c>
      <c r="E82" s="9">
        <v>9.0</v>
      </c>
      <c r="F82" s="9">
        <v>7.9</v>
      </c>
    </row>
    <row r="83" ht="15.75" customHeight="1">
      <c r="B83" s="9" t="s">
        <v>633</v>
      </c>
      <c r="C83" s="9">
        <v>4809.0</v>
      </c>
      <c r="D83" s="37">
        <f t="shared" si="15"/>
        <v>0.02022695918</v>
      </c>
      <c r="E83" s="9">
        <v>10.4</v>
      </c>
      <c r="F83" s="9">
        <v>8.8</v>
      </c>
    </row>
    <row r="84" ht="15.75" customHeight="1">
      <c r="B84" s="9" t="s">
        <v>637</v>
      </c>
      <c r="C84" s="9">
        <v>89051.0</v>
      </c>
      <c r="D84" s="37">
        <f t="shared" si="15"/>
        <v>0.3745541573</v>
      </c>
      <c r="E84" s="9">
        <v>9.3</v>
      </c>
      <c r="F84" s="9">
        <v>7.8</v>
      </c>
    </row>
    <row r="85" ht="15.75" customHeight="1">
      <c r="B85" s="3" t="s">
        <v>410</v>
      </c>
      <c r="C85" s="9">
        <f>SUM(C77:C84)</f>
        <v>237752</v>
      </c>
      <c r="D85" s="9"/>
      <c r="E85" s="9">
        <v>15.1</v>
      </c>
      <c r="F85" s="9">
        <v>11.8</v>
      </c>
    </row>
    <row r="86" ht="15.75" customHeight="1">
      <c r="B86" s="9" t="s">
        <v>639</v>
      </c>
      <c r="C86" s="9"/>
      <c r="D86" s="9"/>
      <c r="E86" s="9"/>
      <c r="F86" s="9"/>
    </row>
    <row r="87" ht="15.75" customHeight="1"/>
    <row r="88" ht="15.75" customHeight="1">
      <c r="B88" s="3" t="s">
        <v>643</v>
      </c>
    </row>
    <row r="89" ht="15.75" customHeight="1">
      <c r="B89" s="2" t="s">
        <v>575</v>
      </c>
      <c r="C89" s="2" t="s">
        <v>457</v>
      </c>
      <c r="D89" s="2" t="s">
        <v>644</v>
      </c>
      <c r="E89" s="2" t="s">
        <v>645</v>
      </c>
      <c r="F89" s="2" t="s">
        <v>646</v>
      </c>
    </row>
    <row r="90" ht="15.75" customHeight="1">
      <c r="B90" s="9" t="s">
        <v>647</v>
      </c>
      <c r="C90" s="9">
        <v>3.08</v>
      </c>
      <c r="D90" s="9">
        <v>3.55</v>
      </c>
      <c r="E90" s="9">
        <v>4.72</v>
      </c>
      <c r="F90" s="9">
        <v>2.41</v>
      </c>
    </row>
    <row r="91" ht="15.75" customHeight="1">
      <c r="B91" s="9" t="s">
        <v>648</v>
      </c>
      <c r="C91" s="9">
        <v>3.37</v>
      </c>
      <c r="D91" s="9">
        <v>4.55</v>
      </c>
      <c r="E91" s="9">
        <v>4.53</v>
      </c>
      <c r="F91" s="9">
        <v>2.61</v>
      </c>
    </row>
    <row r="92" ht="15.75" customHeight="1">
      <c r="B92" s="9" t="s">
        <v>649</v>
      </c>
      <c r="C92" s="9">
        <v>3.08</v>
      </c>
      <c r="D92" s="9">
        <v>4.44</v>
      </c>
      <c r="E92" s="9">
        <v>5.55</v>
      </c>
      <c r="F92" s="9">
        <v>2.65</v>
      </c>
    </row>
    <row r="93" ht="15.75" customHeight="1">
      <c r="B93" s="9" t="s">
        <v>652</v>
      </c>
      <c r="C93" s="9">
        <v>3.91</v>
      </c>
      <c r="D93" s="9">
        <v>4.78</v>
      </c>
      <c r="E93" s="9">
        <v>3.58</v>
      </c>
      <c r="F93" s="9">
        <v>2.44</v>
      </c>
    </row>
    <row r="94" ht="15.75" customHeight="1">
      <c r="B94" s="9" t="s">
        <v>656</v>
      </c>
    </row>
    <row r="95" ht="15.75" customHeight="1"/>
    <row r="96" ht="15.75" customHeight="1">
      <c r="B96" s="3" t="s">
        <v>659</v>
      </c>
    </row>
    <row r="97" ht="15.75" customHeight="1">
      <c r="B97" s="2" t="s">
        <v>662</v>
      </c>
      <c r="C97" s="2" t="s">
        <v>664</v>
      </c>
      <c r="D97" s="2" t="s">
        <v>665</v>
      </c>
      <c r="E97" s="2" t="s">
        <v>666</v>
      </c>
      <c r="F97" s="2" t="s">
        <v>579</v>
      </c>
      <c r="G97" s="2" t="s">
        <v>667</v>
      </c>
      <c r="H97" s="2" t="s">
        <v>668</v>
      </c>
    </row>
    <row r="98" ht="15.75" customHeight="1">
      <c r="B98" s="9" t="s">
        <v>669</v>
      </c>
      <c r="C98" s="9">
        <v>88.5</v>
      </c>
      <c r="D98" s="31">
        <v>12682.0</v>
      </c>
      <c r="E98" s="9">
        <v>2825.91</v>
      </c>
      <c r="F98" s="33">
        <f t="shared" ref="F98:F119" si="16">D98/E98</f>
        <v>4.487757926</v>
      </c>
      <c r="G98" s="39">
        <f t="shared" ref="G98:G119" si="17">D98/C98*365/274</f>
        <v>190.8915832</v>
      </c>
      <c r="H98" s="9" t="s">
        <v>674</v>
      </c>
    </row>
    <row r="99" ht="15.75" customHeight="1">
      <c r="B99" s="9" t="s">
        <v>675</v>
      </c>
      <c r="C99" s="9">
        <v>48.5</v>
      </c>
      <c r="D99" s="31">
        <v>11145.0</v>
      </c>
      <c r="E99" s="9">
        <v>2732.72</v>
      </c>
      <c r="F99" s="33">
        <f t="shared" si="16"/>
        <v>4.078354167</v>
      </c>
      <c r="G99" s="39">
        <f t="shared" si="17"/>
        <v>306.1121981</v>
      </c>
      <c r="H99" s="9" t="s">
        <v>677</v>
      </c>
    </row>
    <row r="100" ht="15.75" customHeight="1">
      <c r="B100" s="9" t="s">
        <v>680</v>
      </c>
      <c r="C100" s="9">
        <v>46.8</v>
      </c>
      <c r="D100" s="31">
        <v>10457.0</v>
      </c>
      <c r="E100" s="9">
        <v>2321.13</v>
      </c>
      <c r="F100" s="33">
        <f t="shared" si="16"/>
        <v>4.505133276</v>
      </c>
      <c r="G100" s="39">
        <f t="shared" si="17"/>
        <v>297.6484029</v>
      </c>
      <c r="H100" s="9" t="s">
        <v>681</v>
      </c>
    </row>
    <row r="101" ht="15.75" customHeight="1">
      <c r="B101" s="9" t="s">
        <v>682</v>
      </c>
      <c r="C101" s="9">
        <v>83.1</v>
      </c>
      <c r="D101" s="31">
        <v>8773.0</v>
      </c>
      <c r="E101" s="9">
        <v>3031.41</v>
      </c>
      <c r="F101" s="33">
        <f t="shared" si="16"/>
        <v>2.89403281</v>
      </c>
      <c r="G101" s="39">
        <f t="shared" si="17"/>
        <v>140.6337014</v>
      </c>
      <c r="H101" s="9" t="s">
        <v>683</v>
      </c>
    </row>
    <row r="102" ht="15.75" customHeight="1">
      <c r="B102" s="9" t="s">
        <v>684</v>
      </c>
      <c r="C102" s="9">
        <v>31.8</v>
      </c>
      <c r="D102" s="31">
        <v>8316.0</v>
      </c>
      <c r="E102" s="9">
        <v>1407.63</v>
      </c>
      <c r="F102" s="33">
        <f t="shared" si="16"/>
        <v>5.907802477</v>
      </c>
      <c r="G102" s="39">
        <f t="shared" si="17"/>
        <v>348.3611073</v>
      </c>
      <c r="H102" s="9" t="s">
        <v>689</v>
      </c>
    </row>
    <row r="103" ht="15.75" customHeight="1">
      <c r="B103" s="9" t="s">
        <v>690</v>
      </c>
      <c r="C103" s="9">
        <v>52.4</v>
      </c>
      <c r="D103" s="31">
        <v>7546.0</v>
      </c>
      <c r="E103" s="9">
        <v>1857.09</v>
      </c>
      <c r="F103" s="33">
        <f t="shared" si="16"/>
        <v>4.063346418</v>
      </c>
      <c r="G103" s="39">
        <f t="shared" si="17"/>
        <v>191.8349863</v>
      </c>
      <c r="H103" s="9" t="s">
        <v>692</v>
      </c>
    </row>
    <row r="104" ht="15.75" customHeight="1">
      <c r="B104" s="9" t="s">
        <v>695</v>
      </c>
      <c r="C104" s="9">
        <v>30.6</v>
      </c>
      <c r="D104" s="31">
        <v>5559.0</v>
      </c>
      <c r="E104" s="9">
        <v>1672.66</v>
      </c>
      <c r="F104" s="33">
        <f t="shared" si="16"/>
        <v>3.323448878</v>
      </c>
      <c r="G104" s="39">
        <f t="shared" si="17"/>
        <v>242.0012165</v>
      </c>
      <c r="H104" s="9" t="s">
        <v>697</v>
      </c>
    </row>
    <row r="105" ht="15.75" customHeight="1">
      <c r="B105" s="9" t="s">
        <v>698</v>
      </c>
      <c r="C105" s="9">
        <v>26.1</v>
      </c>
      <c r="D105" s="31">
        <v>5498.0</v>
      </c>
      <c r="E105" s="9">
        <v>1339.31</v>
      </c>
      <c r="F105" s="33">
        <f t="shared" si="16"/>
        <v>4.105098894</v>
      </c>
      <c r="G105" s="39">
        <f t="shared" si="17"/>
        <v>280.6121878</v>
      </c>
      <c r="H105" s="9" t="s">
        <v>699</v>
      </c>
    </row>
    <row r="106" ht="15.75" customHeight="1">
      <c r="B106" s="9" t="s">
        <v>700</v>
      </c>
      <c r="C106" s="9">
        <v>24.2</v>
      </c>
      <c r="D106" s="31">
        <v>4835.0</v>
      </c>
      <c r="E106" s="9">
        <v>1126.32</v>
      </c>
      <c r="F106" s="33">
        <f t="shared" si="16"/>
        <v>4.292740962</v>
      </c>
      <c r="G106" s="39">
        <f t="shared" si="17"/>
        <v>266.1481269</v>
      </c>
      <c r="H106" s="9" t="s">
        <v>701</v>
      </c>
    </row>
    <row r="107" ht="15.75" customHeight="1">
      <c r="B107" s="9" t="s">
        <v>702</v>
      </c>
      <c r="C107" s="9">
        <v>18.1</v>
      </c>
      <c r="D107" s="31">
        <v>4104.0</v>
      </c>
      <c r="E107" s="9">
        <v>825.0</v>
      </c>
      <c r="F107" s="33">
        <f t="shared" si="16"/>
        <v>4.974545455</v>
      </c>
      <c r="G107" s="39">
        <f t="shared" si="17"/>
        <v>302.0446022</v>
      </c>
      <c r="H107" s="9" t="s">
        <v>703</v>
      </c>
    </row>
    <row r="108" ht="15.75" customHeight="1">
      <c r="B108" s="9" t="s">
        <v>704</v>
      </c>
      <c r="C108" s="9">
        <v>52.2</v>
      </c>
      <c r="D108" s="31">
        <v>3670.0</v>
      </c>
      <c r="E108" s="9">
        <v>527.45</v>
      </c>
      <c r="F108" s="33">
        <f t="shared" si="16"/>
        <v>6.958005498</v>
      </c>
      <c r="G108" s="39">
        <f t="shared" si="17"/>
        <v>93.65648684</v>
      </c>
      <c r="H108" s="9" t="s">
        <v>710</v>
      </c>
    </row>
    <row r="109" ht="15.75" customHeight="1">
      <c r="B109" s="9" t="s">
        <v>711</v>
      </c>
      <c r="C109" s="9">
        <v>14.7</v>
      </c>
      <c r="D109" s="31">
        <v>3211.0</v>
      </c>
      <c r="E109" s="9">
        <v>766.16</v>
      </c>
      <c r="F109" s="33">
        <f t="shared" si="16"/>
        <v>4.191030594</v>
      </c>
      <c r="G109" s="39">
        <f t="shared" si="17"/>
        <v>290.9814291</v>
      </c>
      <c r="H109" s="9" t="s">
        <v>715</v>
      </c>
    </row>
    <row r="110" ht="15.75" customHeight="1">
      <c r="B110" s="9" t="s">
        <v>717</v>
      </c>
      <c r="C110" s="9">
        <v>48.0</v>
      </c>
      <c r="D110" s="31">
        <v>2934.0</v>
      </c>
      <c r="E110" s="9">
        <v>906.39</v>
      </c>
      <c r="F110" s="33">
        <f t="shared" si="16"/>
        <v>3.237017178</v>
      </c>
      <c r="G110" s="39">
        <f t="shared" si="17"/>
        <v>81.42563869</v>
      </c>
      <c r="H110" s="9" t="s">
        <v>718</v>
      </c>
    </row>
    <row r="111" ht="15.75" customHeight="1">
      <c r="B111" s="9" t="s">
        <v>719</v>
      </c>
      <c r="C111" s="9">
        <v>13.3</v>
      </c>
      <c r="D111" s="31">
        <v>2360.0</v>
      </c>
      <c r="E111" s="9">
        <v>532.57</v>
      </c>
      <c r="F111" s="33">
        <f t="shared" si="16"/>
        <v>4.431342359</v>
      </c>
      <c r="G111" s="39">
        <f t="shared" si="17"/>
        <v>236.3756106</v>
      </c>
      <c r="H111" s="9" t="s">
        <v>720</v>
      </c>
    </row>
    <row r="112" ht="15.75" customHeight="1">
      <c r="B112" s="9" t="s">
        <v>721</v>
      </c>
      <c r="C112" s="9">
        <v>12.3</v>
      </c>
      <c r="D112" s="31">
        <v>2070.0</v>
      </c>
      <c r="E112" s="9">
        <v>434.7</v>
      </c>
      <c r="F112" s="33">
        <f t="shared" si="16"/>
        <v>4.761904762</v>
      </c>
      <c r="G112" s="39">
        <f t="shared" si="17"/>
        <v>224.1855083</v>
      </c>
      <c r="H112" s="9" t="s">
        <v>722</v>
      </c>
    </row>
    <row r="113" ht="15.75" customHeight="1">
      <c r="B113" s="9" t="s">
        <v>723</v>
      </c>
      <c r="C113" s="9">
        <v>7.6</v>
      </c>
      <c r="D113" s="31">
        <v>1030.0</v>
      </c>
      <c r="E113" s="9">
        <v>255.35</v>
      </c>
      <c r="F113" s="33">
        <f t="shared" si="16"/>
        <v>4.033679264</v>
      </c>
      <c r="G113" s="39">
        <f t="shared" si="17"/>
        <v>180.5368805</v>
      </c>
      <c r="H113" s="9" t="s">
        <v>728</v>
      </c>
    </row>
    <row r="114" ht="15.75" customHeight="1">
      <c r="B114" s="9" t="s">
        <v>729</v>
      </c>
      <c r="C114" s="9">
        <v>5.0</v>
      </c>
      <c r="D114" s="31">
        <v>544.0</v>
      </c>
      <c r="E114" s="9">
        <v>65.62</v>
      </c>
      <c r="F114" s="33">
        <f t="shared" si="16"/>
        <v>8.29015544</v>
      </c>
      <c r="G114" s="39">
        <f t="shared" si="17"/>
        <v>144.9343066</v>
      </c>
      <c r="H114" s="9" t="s">
        <v>731</v>
      </c>
    </row>
    <row r="115" ht="15.75" customHeight="1">
      <c r="B115" s="9" t="s">
        <v>732</v>
      </c>
      <c r="C115" s="9">
        <v>47.3</v>
      </c>
      <c r="D115" s="31">
        <v>428.0</v>
      </c>
      <c r="E115" s="9">
        <v>224.76</v>
      </c>
      <c r="F115" s="33">
        <f t="shared" si="16"/>
        <v>1.904253426</v>
      </c>
      <c r="G115" s="39">
        <f t="shared" si="17"/>
        <v>12.05382633</v>
      </c>
      <c r="H115" s="9" t="s">
        <v>733</v>
      </c>
    </row>
    <row r="116" ht="15.75" customHeight="1">
      <c r="B116" s="9" t="s">
        <v>734</v>
      </c>
      <c r="C116" s="9">
        <v>32.0</v>
      </c>
      <c r="D116" s="31">
        <v>372.0</v>
      </c>
      <c r="E116" s="9">
        <v>247.81</v>
      </c>
      <c r="F116" s="33">
        <f t="shared" si="16"/>
        <v>1.501150075</v>
      </c>
      <c r="G116" s="39">
        <f t="shared" si="17"/>
        <v>15.48585766</v>
      </c>
      <c r="H116" s="9" t="s">
        <v>735</v>
      </c>
    </row>
    <row r="117" ht="15.75" customHeight="1">
      <c r="B117" s="9" t="s">
        <v>736</v>
      </c>
      <c r="C117" s="9">
        <v>3.3</v>
      </c>
      <c r="D117" s="31">
        <v>230.0</v>
      </c>
      <c r="E117" s="9">
        <v>39.42</v>
      </c>
      <c r="F117" s="33">
        <f t="shared" si="16"/>
        <v>5.834601725</v>
      </c>
      <c r="G117" s="39">
        <f t="shared" si="17"/>
        <v>92.84450343</v>
      </c>
      <c r="H117" s="9" t="s">
        <v>739</v>
      </c>
    </row>
    <row r="118" ht="15.75" customHeight="1">
      <c r="B118" s="9" t="s">
        <v>740</v>
      </c>
      <c r="C118" s="9">
        <v>134.7</v>
      </c>
      <c r="D118" s="31">
        <v>302.0</v>
      </c>
      <c r="E118" s="9">
        <v>437.75</v>
      </c>
      <c r="F118" s="33">
        <f t="shared" si="16"/>
        <v>0.6898914906</v>
      </c>
      <c r="G118" s="39">
        <f t="shared" si="17"/>
        <v>2.986631552</v>
      </c>
      <c r="H118" s="9"/>
    </row>
    <row r="119" ht="15.75" customHeight="1">
      <c r="B119" s="3" t="s">
        <v>741</v>
      </c>
      <c r="C119" s="40">
        <f t="shared" ref="C119:E119" si="18">SUM(C98:C118)</f>
        <v>820.5</v>
      </c>
      <c r="D119" s="22">
        <f t="shared" si="18"/>
        <v>96066</v>
      </c>
      <c r="E119" s="40">
        <f t="shared" si="18"/>
        <v>23577.16</v>
      </c>
      <c r="F119" s="26">
        <f t="shared" si="16"/>
        <v>4.074536543</v>
      </c>
      <c r="G119" s="41">
        <f t="shared" si="17"/>
        <v>155.9672534</v>
      </c>
    </row>
    <row r="120" ht="15.75" customHeight="1">
      <c r="B120" s="20" t="s">
        <v>749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7:O17"/>
    <mergeCell ref="B62:H62"/>
    <mergeCell ref="B73:H7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0"/>
    <col customWidth="1" min="2" max="2" width="6.0"/>
    <col customWidth="1" min="3" max="3" width="70.0"/>
    <col customWidth="1" min="4" max="4" width="80.0"/>
    <col customWidth="1" min="5" max="5" width="40.0"/>
    <col customWidth="1" min="6" max="6" width="50.0"/>
    <col customWidth="1" min="7" max="26" width="8.71"/>
  </cols>
  <sheetData>
    <row r="2">
      <c r="B2" s="1" t="s">
        <v>1</v>
      </c>
    </row>
    <row r="3">
      <c r="B3" s="2" t="s">
        <v>3</v>
      </c>
      <c r="C3" s="2" t="s">
        <v>7</v>
      </c>
      <c r="D3" s="2" t="s">
        <v>8</v>
      </c>
      <c r="E3" s="2" t="s">
        <v>9</v>
      </c>
      <c r="F3" s="2" t="s">
        <v>10</v>
      </c>
    </row>
    <row r="4">
      <c r="B4" s="5" t="s">
        <v>11</v>
      </c>
      <c r="C4" s="5" t="s">
        <v>17</v>
      </c>
      <c r="D4" s="5" t="s">
        <v>19</v>
      </c>
      <c r="E4" s="5" t="s">
        <v>21</v>
      </c>
      <c r="F4" s="5" t="s">
        <v>22</v>
      </c>
    </row>
    <row r="5">
      <c r="B5" s="5" t="s">
        <v>23</v>
      </c>
      <c r="C5" s="5" t="s">
        <v>25</v>
      </c>
      <c r="D5" s="5" t="s">
        <v>28</v>
      </c>
      <c r="E5" s="5" t="s">
        <v>29</v>
      </c>
      <c r="F5" s="5" t="s">
        <v>30</v>
      </c>
    </row>
    <row r="6">
      <c r="B6" s="5" t="s">
        <v>33</v>
      </c>
      <c r="C6" s="5" t="s">
        <v>36</v>
      </c>
      <c r="D6" s="5" t="s">
        <v>37</v>
      </c>
      <c r="E6" s="5" t="s">
        <v>40</v>
      </c>
      <c r="F6" s="5" t="s">
        <v>42</v>
      </c>
    </row>
    <row r="7">
      <c r="B7" s="5" t="s">
        <v>46</v>
      </c>
      <c r="C7" s="5" t="s">
        <v>48</v>
      </c>
      <c r="D7" s="5" t="s">
        <v>51</v>
      </c>
      <c r="E7" s="5" t="s">
        <v>53</v>
      </c>
      <c r="F7" s="5" t="s">
        <v>22</v>
      </c>
    </row>
    <row r="8">
      <c r="B8" s="5" t="s">
        <v>58</v>
      </c>
      <c r="C8" s="5" t="s">
        <v>59</v>
      </c>
      <c r="D8" s="5" t="s">
        <v>61</v>
      </c>
      <c r="E8" s="5" t="s">
        <v>63</v>
      </c>
      <c r="F8" s="5" t="s">
        <v>64</v>
      </c>
    </row>
    <row r="9">
      <c r="B9" s="5" t="s">
        <v>66</v>
      </c>
      <c r="C9" s="5" t="s">
        <v>67</v>
      </c>
      <c r="D9" s="5" t="s">
        <v>68</v>
      </c>
      <c r="E9" s="5" t="s">
        <v>69</v>
      </c>
      <c r="F9" s="5" t="s">
        <v>70</v>
      </c>
    </row>
    <row r="10">
      <c r="B10" s="5" t="s">
        <v>72</v>
      </c>
      <c r="C10" s="5" t="s">
        <v>73</v>
      </c>
      <c r="D10" s="5" t="s">
        <v>75</v>
      </c>
      <c r="E10" s="5" t="s">
        <v>76</v>
      </c>
      <c r="F10" s="5" t="s">
        <v>77</v>
      </c>
    </row>
    <row r="11">
      <c r="B11" s="5" t="s">
        <v>79</v>
      </c>
      <c r="C11" s="5" t="s">
        <v>80</v>
      </c>
      <c r="D11" s="5" t="s">
        <v>81</v>
      </c>
      <c r="E11" s="5" t="s">
        <v>83</v>
      </c>
      <c r="F11" s="5" t="s">
        <v>84</v>
      </c>
    </row>
    <row r="12">
      <c r="B12" s="5" t="s">
        <v>86</v>
      </c>
      <c r="C12" s="5" t="s">
        <v>87</v>
      </c>
      <c r="D12" s="5" t="s">
        <v>89</v>
      </c>
      <c r="E12" s="5" t="s">
        <v>90</v>
      </c>
      <c r="F12" s="5" t="s">
        <v>91</v>
      </c>
    </row>
    <row r="13">
      <c r="B13" s="5" t="s">
        <v>93</v>
      </c>
      <c r="C13" s="5" t="s">
        <v>94</v>
      </c>
      <c r="D13" s="5" t="s">
        <v>95</v>
      </c>
      <c r="E13" s="5" t="s">
        <v>97</v>
      </c>
      <c r="F13" s="5" t="s">
        <v>98</v>
      </c>
    </row>
    <row r="14">
      <c r="B14" s="5" t="s">
        <v>99</v>
      </c>
      <c r="C14" s="5" t="s">
        <v>100</v>
      </c>
      <c r="D14" s="5" t="s">
        <v>101</v>
      </c>
      <c r="E14" s="5" t="s">
        <v>103</v>
      </c>
      <c r="F14" s="5" t="s">
        <v>104</v>
      </c>
    </row>
    <row r="15">
      <c r="B15" s="5" t="s">
        <v>105</v>
      </c>
      <c r="C15" s="5" t="s">
        <v>106</v>
      </c>
      <c r="D15" s="5" t="s">
        <v>107</v>
      </c>
      <c r="E15" s="5" t="s">
        <v>108</v>
      </c>
      <c r="F15" s="5" t="s">
        <v>91</v>
      </c>
    </row>
    <row r="16">
      <c r="B16" s="5" t="s">
        <v>109</v>
      </c>
      <c r="C16" s="5" t="s">
        <v>110</v>
      </c>
      <c r="D16" s="5" t="s">
        <v>112</v>
      </c>
      <c r="E16" s="5" t="s">
        <v>113</v>
      </c>
      <c r="F16" s="5" t="s">
        <v>114</v>
      </c>
    </row>
    <row r="17">
      <c r="B17" s="5" t="s">
        <v>115</v>
      </c>
      <c r="C17" s="5" t="s">
        <v>116</v>
      </c>
      <c r="D17" s="5" t="s">
        <v>117</v>
      </c>
      <c r="E17" s="5" t="s">
        <v>118</v>
      </c>
      <c r="F17" s="5" t="s">
        <v>119</v>
      </c>
    </row>
    <row r="18">
      <c r="B18" s="5" t="s">
        <v>120</v>
      </c>
      <c r="C18" s="5" t="s">
        <v>122</v>
      </c>
      <c r="D18" s="5" t="s">
        <v>124</v>
      </c>
      <c r="E18" s="5" t="s">
        <v>125</v>
      </c>
      <c r="F18" s="5" t="s">
        <v>126</v>
      </c>
    </row>
    <row r="19">
      <c r="B19" s="5" t="s">
        <v>128</v>
      </c>
      <c r="C19" s="5" t="s">
        <v>129</v>
      </c>
      <c r="D19" s="5" t="s">
        <v>130</v>
      </c>
      <c r="E19" s="5" t="s">
        <v>131</v>
      </c>
      <c r="F19" s="5" t="s">
        <v>91</v>
      </c>
    </row>
    <row r="20">
      <c r="B20" s="5" t="s">
        <v>132</v>
      </c>
      <c r="C20" s="5" t="s">
        <v>133</v>
      </c>
      <c r="D20" s="5" t="s">
        <v>134</v>
      </c>
      <c r="E20" s="5" t="s">
        <v>135</v>
      </c>
      <c r="F20" s="5" t="s">
        <v>114</v>
      </c>
    </row>
    <row r="21" ht="15.75" customHeight="1">
      <c r="B21" s="5" t="s">
        <v>137</v>
      </c>
      <c r="C21" s="5" t="s">
        <v>138</v>
      </c>
      <c r="D21" s="14" t="s">
        <v>140</v>
      </c>
      <c r="E21" s="5" t="s">
        <v>151</v>
      </c>
      <c r="F21" s="5" t="s">
        <v>91</v>
      </c>
    </row>
    <row r="22" ht="15.75" customHeight="1">
      <c r="B22" s="5" t="s">
        <v>152</v>
      </c>
      <c r="C22" s="5" t="s">
        <v>153</v>
      </c>
      <c r="D22" s="5" t="s">
        <v>154</v>
      </c>
      <c r="E22" s="5" t="s">
        <v>156</v>
      </c>
      <c r="F22" s="5" t="s">
        <v>91</v>
      </c>
    </row>
    <row r="23" ht="15.75" customHeight="1">
      <c r="B23" s="5" t="s">
        <v>158</v>
      </c>
      <c r="C23" s="5" t="s">
        <v>159</v>
      </c>
      <c r="D23" s="5" t="s">
        <v>160</v>
      </c>
      <c r="E23" s="5" t="s">
        <v>161</v>
      </c>
      <c r="F23" s="5" t="s">
        <v>91</v>
      </c>
    </row>
    <row r="24" ht="15.75" customHeight="1">
      <c r="B24" s="5" t="s">
        <v>162</v>
      </c>
      <c r="C24" s="5" t="s">
        <v>163</v>
      </c>
      <c r="D24" s="5" t="s">
        <v>164</v>
      </c>
      <c r="E24" s="5" t="s">
        <v>165</v>
      </c>
      <c r="F24" s="5" t="s">
        <v>166</v>
      </c>
    </row>
    <row r="25" ht="15.75" customHeight="1">
      <c r="B25" s="5" t="s">
        <v>167</v>
      </c>
      <c r="C25" s="5" t="s">
        <v>168</v>
      </c>
      <c r="D25" s="5" t="s">
        <v>169</v>
      </c>
      <c r="E25" s="5" t="s">
        <v>170</v>
      </c>
      <c r="F25" s="5" t="s">
        <v>166</v>
      </c>
    </row>
    <row r="26" ht="15.75" customHeight="1">
      <c r="B26" s="5" t="s">
        <v>171</v>
      </c>
      <c r="C26" s="5" t="s">
        <v>172</v>
      </c>
      <c r="D26" s="5" t="s">
        <v>174</v>
      </c>
      <c r="E26" s="5" t="s">
        <v>175</v>
      </c>
      <c r="F26" s="5" t="s">
        <v>91</v>
      </c>
    </row>
    <row r="27" ht="15.75" customHeight="1">
      <c r="B27" s="5" t="s">
        <v>177</v>
      </c>
      <c r="C27" s="5" t="s">
        <v>178</v>
      </c>
      <c r="D27" s="5" t="s">
        <v>179</v>
      </c>
      <c r="E27" s="5" t="s">
        <v>180</v>
      </c>
      <c r="F27" s="5" t="s">
        <v>181</v>
      </c>
    </row>
    <row r="28" ht="15.75" customHeight="1">
      <c r="B28" s="5" t="s">
        <v>182</v>
      </c>
      <c r="C28" s="5" t="s">
        <v>183</v>
      </c>
      <c r="D28" s="5" t="s">
        <v>184</v>
      </c>
      <c r="E28" s="5" t="s">
        <v>185</v>
      </c>
      <c r="F28" s="5" t="s">
        <v>186</v>
      </c>
    </row>
    <row r="29" ht="15.75" customHeight="1">
      <c r="B29" s="5" t="s">
        <v>187</v>
      </c>
      <c r="C29" s="5" t="s">
        <v>188</v>
      </c>
      <c r="D29" s="5" t="s">
        <v>189</v>
      </c>
      <c r="E29" s="5" t="s">
        <v>190</v>
      </c>
      <c r="F29" s="5" t="s">
        <v>119</v>
      </c>
    </row>
    <row r="30" ht="15.75" customHeight="1">
      <c r="B30" s="5" t="s">
        <v>192</v>
      </c>
      <c r="C30" s="5" t="s">
        <v>194</v>
      </c>
      <c r="D30" s="5" t="s">
        <v>195</v>
      </c>
      <c r="E30" s="5" t="s">
        <v>196</v>
      </c>
      <c r="F30" s="5" t="s">
        <v>114</v>
      </c>
    </row>
    <row r="31" ht="15.75" customHeight="1">
      <c r="B31" s="5" t="s">
        <v>198</v>
      </c>
      <c r="C31" s="5" t="s">
        <v>199</v>
      </c>
      <c r="D31" s="5" t="s">
        <v>201</v>
      </c>
      <c r="E31" s="5" t="s">
        <v>202</v>
      </c>
      <c r="F31" s="5" t="s">
        <v>114</v>
      </c>
    </row>
    <row r="32" ht="15.75" customHeight="1">
      <c r="B32" s="5" t="s">
        <v>203</v>
      </c>
      <c r="C32" s="5" t="s">
        <v>204</v>
      </c>
      <c r="D32" s="5" t="s">
        <v>205</v>
      </c>
      <c r="E32" s="5" t="s">
        <v>190</v>
      </c>
      <c r="F32" s="5" t="s">
        <v>114</v>
      </c>
    </row>
    <row r="33" ht="15.75" customHeight="1">
      <c r="B33" s="5" t="s">
        <v>207</v>
      </c>
      <c r="C33" s="5" t="s">
        <v>208</v>
      </c>
      <c r="D33" s="5" t="s">
        <v>210</v>
      </c>
      <c r="E33" s="5" t="s">
        <v>211</v>
      </c>
      <c r="F33" s="5" t="s">
        <v>212</v>
      </c>
    </row>
    <row r="34" ht="15.75" customHeight="1">
      <c r="B34" s="5" t="s">
        <v>213</v>
      </c>
      <c r="C34" s="5" t="s">
        <v>214</v>
      </c>
      <c r="D34" s="5" t="s">
        <v>216</v>
      </c>
      <c r="E34" s="5" t="s">
        <v>218</v>
      </c>
      <c r="F34" s="5" t="s">
        <v>114</v>
      </c>
    </row>
    <row r="35" ht="15.75" customHeight="1">
      <c r="B35" s="5" t="s">
        <v>221</v>
      </c>
      <c r="C35" s="5" t="s">
        <v>222</v>
      </c>
      <c r="D35" s="5" t="s">
        <v>225</v>
      </c>
      <c r="E35" s="5" t="s">
        <v>227</v>
      </c>
      <c r="F35" s="5" t="s">
        <v>228</v>
      </c>
    </row>
    <row r="36" ht="15.75" customHeight="1">
      <c r="B36" s="5" t="s">
        <v>230</v>
      </c>
      <c r="C36" s="5" t="s">
        <v>231</v>
      </c>
      <c r="D36" s="5" t="s">
        <v>232</v>
      </c>
      <c r="E36" s="5" t="s">
        <v>234</v>
      </c>
      <c r="F36" s="5" t="s">
        <v>235</v>
      </c>
    </row>
    <row r="37" ht="15.75" customHeight="1">
      <c r="B37" s="5" t="s">
        <v>237</v>
      </c>
      <c r="C37" s="5" t="s">
        <v>239</v>
      </c>
      <c r="D37" s="5" t="s">
        <v>241</v>
      </c>
      <c r="E37" s="5" t="s">
        <v>242</v>
      </c>
      <c r="F37" s="5" t="s">
        <v>228</v>
      </c>
    </row>
    <row r="38" ht="15.75" customHeight="1">
      <c r="B38" s="5" t="s">
        <v>244</v>
      </c>
      <c r="C38" s="5" t="s">
        <v>245</v>
      </c>
      <c r="D38" s="5" t="s">
        <v>247</v>
      </c>
      <c r="E38" s="5" t="s">
        <v>248</v>
      </c>
      <c r="F38" s="5" t="s">
        <v>249</v>
      </c>
    </row>
    <row r="39" ht="15.75" customHeight="1">
      <c r="B39" s="5" t="s">
        <v>251</v>
      </c>
      <c r="C39" s="5" t="s">
        <v>252</v>
      </c>
      <c r="D39" s="5" t="s">
        <v>253</v>
      </c>
      <c r="E39" s="5" t="s">
        <v>248</v>
      </c>
      <c r="F39" s="5" t="s">
        <v>254</v>
      </c>
    </row>
    <row r="40" ht="15.75" customHeight="1">
      <c r="B40" s="5" t="s">
        <v>255</v>
      </c>
      <c r="C40" s="5" t="s">
        <v>256</v>
      </c>
      <c r="D40" s="5" t="s">
        <v>257</v>
      </c>
      <c r="E40" s="5" t="s">
        <v>248</v>
      </c>
      <c r="F40" s="5" t="s">
        <v>114</v>
      </c>
    </row>
    <row r="41" ht="15.75" customHeight="1">
      <c r="B41" s="5" t="s">
        <v>258</v>
      </c>
      <c r="C41" s="5" t="s">
        <v>259</v>
      </c>
      <c r="D41" s="5" t="s">
        <v>260</v>
      </c>
      <c r="E41" s="5" t="s">
        <v>248</v>
      </c>
      <c r="F41" s="5" t="s">
        <v>261</v>
      </c>
    </row>
    <row r="42" ht="15.75" customHeight="1">
      <c r="B42" s="5" t="s">
        <v>262</v>
      </c>
      <c r="C42" s="5" t="s">
        <v>264</v>
      </c>
      <c r="D42" s="5" t="s">
        <v>265</v>
      </c>
      <c r="E42" s="5" t="s">
        <v>266</v>
      </c>
      <c r="F42" s="5" t="s">
        <v>267</v>
      </c>
    </row>
    <row r="43" ht="15.75" customHeight="1">
      <c r="B43" s="5" t="s">
        <v>268</v>
      </c>
      <c r="C43" s="5" t="s">
        <v>269</v>
      </c>
      <c r="D43" s="5" t="s">
        <v>270</v>
      </c>
      <c r="E43" s="5" t="s">
        <v>271</v>
      </c>
      <c r="F43" s="5" t="s">
        <v>114</v>
      </c>
    </row>
    <row r="44" ht="15.75" customHeight="1">
      <c r="B44" s="5" t="s">
        <v>274</v>
      </c>
      <c r="C44" s="5" t="s">
        <v>276</v>
      </c>
      <c r="D44" s="5" t="s">
        <v>277</v>
      </c>
      <c r="E44" s="5" t="s">
        <v>279</v>
      </c>
      <c r="F44" s="5" t="s">
        <v>119</v>
      </c>
    </row>
    <row r="45" ht="15.75" customHeight="1">
      <c r="B45" s="5" t="s">
        <v>280</v>
      </c>
      <c r="C45" s="5" t="s">
        <v>281</v>
      </c>
      <c r="D45" s="5" t="s">
        <v>282</v>
      </c>
      <c r="E45" s="5" t="s">
        <v>283</v>
      </c>
      <c r="F45" s="5" t="s">
        <v>284</v>
      </c>
    </row>
    <row r="46" ht="15.75" customHeight="1">
      <c r="B46" s="5" t="s">
        <v>285</v>
      </c>
      <c r="C46" s="5" t="s">
        <v>286</v>
      </c>
      <c r="D46" s="5" t="s">
        <v>287</v>
      </c>
      <c r="E46" s="5" t="s">
        <v>288</v>
      </c>
      <c r="F46" s="5" t="s">
        <v>289</v>
      </c>
    </row>
    <row r="47" ht="15.75" customHeight="1">
      <c r="B47" s="5" t="s">
        <v>290</v>
      </c>
      <c r="C47" s="5" t="s">
        <v>291</v>
      </c>
      <c r="D47" s="5" t="s">
        <v>292</v>
      </c>
      <c r="E47" s="5" t="s">
        <v>293</v>
      </c>
      <c r="F47" s="5" t="s">
        <v>294</v>
      </c>
    </row>
    <row r="48" ht="15.75" customHeight="1">
      <c r="B48" s="5" t="s">
        <v>296</v>
      </c>
      <c r="C48" s="5" t="s">
        <v>298</v>
      </c>
      <c r="D48" s="5" t="s">
        <v>299</v>
      </c>
      <c r="E48" s="5" t="s">
        <v>300</v>
      </c>
      <c r="F48" s="5" t="s">
        <v>302</v>
      </c>
    </row>
    <row r="49" ht="15.75" customHeight="1">
      <c r="B49" s="5" t="s">
        <v>303</v>
      </c>
      <c r="C49" s="5" t="s">
        <v>304</v>
      </c>
      <c r="D49" s="5" t="s">
        <v>305</v>
      </c>
      <c r="E49" s="5" t="s">
        <v>306</v>
      </c>
      <c r="F49" s="5" t="s">
        <v>307</v>
      </c>
    </row>
    <row r="50" ht="15.75" customHeight="1">
      <c r="B50" s="5" t="s">
        <v>308</v>
      </c>
      <c r="C50" s="5" t="s">
        <v>309</v>
      </c>
      <c r="D50" s="5" t="s">
        <v>310</v>
      </c>
      <c r="E50" s="5" t="s">
        <v>311</v>
      </c>
      <c r="F50" s="5" t="s">
        <v>312</v>
      </c>
    </row>
    <row r="51" ht="15.75" customHeight="1">
      <c r="B51" s="5" t="s">
        <v>313</v>
      </c>
      <c r="C51" s="5" t="s">
        <v>314</v>
      </c>
      <c r="D51" s="5" t="s">
        <v>315</v>
      </c>
      <c r="E51" s="5" t="s">
        <v>316</v>
      </c>
      <c r="F51" s="5" t="s">
        <v>317</v>
      </c>
    </row>
    <row r="52" ht="15.75" customHeight="1">
      <c r="B52" s="5" t="s">
        <v>319</v>
      </c>
      <c r="C52" s="5" t="s">
        <v>320</v>
      </c>
      <c r="D52" s="5" t="s">
        <v>322</v>
      </c>
      <c r="E52" s="5" t="s">
        <v>323</v>
      </c>
      <c r="F52" s="5" t="s">
        <v>91</v>
      </c>
    </row>
    <row r="53" ht="15.75" customHeight="1">
      <c r="B53" s="5" t="s">
        <v>324</v>
      </c>
      <c r="C53" s="5" t="s">
        <v>325</v>
      </c>
      <c r="D53" s="5" t="s">
        <v>326</v>
      </c>
      <c r="E53" s="5" t="s">
        <v>327</v>
      </c>
      <c r="F53" s="5" t="s">
        <v>328</v>
      </c>
    </row>
    <row r="54" ht="15.75" customHeight="1">
      <c r="B54" s="5" t="s">
        <v>329</v>
      </c>
      <c r="C54" s="5" t="s">
        <v>330</v>
      </c>
      <c r="D54" s="5" t="s">
        <v>332</v>
      </c>
      <c r="E54" s="5" t="s">
        <v>333</v>
      </c>
      <c r="F54" s="5" t="s">
        <v>91</v>
      </c>
    </row>
    <row r="55" ht="15.75" customHeight="1">
      <c r="B55" s="5" t="s">
        <v>336</v>
      </c>
      <c r="C55" s="5" t="s">
        <v>338</v>
      </c>
      <c r="D55" s="5" t="s">
        <v>339</v>
      </c>
      <c r="E55" s="5" t="s">
        <v>341</v>
      </c>
      <c r="F55" s="5" t="s">
        <v>342</v>
      </c>
    </row>
    <row r="56" ht="15.75" customHeight="1">
      <c r="B56" s="5" t="s">
        <v>344</v>
      </c>
      <c r="C56" s="5" t="s">
        <v>345</v>
      </c>
      <c r="D56" s="5" t="s">
        <v>346</v>
      </c>
      <c r="E56" s="5" t="s">
        <v>347</v>
      </c>
      <c r="F56" s="5" t="s">
        <v>348</v>
      </c>
    </row>
    <row r="57" ht="15.75" customHeight="1">
      <c r="B57" s="5" t="s">
        <v>349</v>
      </c>
      <c r="C57" s="5" t="s">
        <v>350</v>
      </c>
      <c r="D57" s="5" t="s">
        <v>351</v>
      </c>
      <c r="E57" s="5" t="s">
        <v>352</v>
      </c>
      <c r="F57" s="5" t="s">
        <v>91</v>
      </c>
    </row>
    <row r="58" ht="15.75" customHeight="1">
      <c r="B58" s="5" t="s">
        <v>353</v>
      </c>
      <c r="C58" s="5" t="s">
        <v>354</v>
      </c>
      <c r="D58" s="5" t="s">
        <v>355</v>
      </c>
      <c r="E58" s="5" t="s">
        <v>356</v>
      </c>
      <c r="F58" s="5" t="s">
        <v>91</v>
      </c>
    </row>
    <row r="59" ht="15.75" customHeight="1">
      <c r="B59" s="5" t="s">
        <v>357</v>
      </c>
      <c r="C59" s="5" t="s">
        <v>359</v>
      </c>
      <c r="D59" s="5" t="s">
        <v>360</v>
      </c>
      <c r="E59" s="5" t="s">
        <v>361</v>
      </c>
      <c r="F59" s="5" t="s">
        <v>91</v>
      </c>
    </row>
    <row r="60" ht="15.75" customHeight="1">
      <c r="B60" s="5" t="s">
        <v>362</v>
      </c>
      <c r="C60" s="5" t="s">
        <v>363</v>
      </c>
      <c r="D60" s="5" t="s">
        <v>364</v>
      </c>
      <c r="E60" s="5" t="s">
        <v>365</v>
      </c>
      <c r="F60" s="5" t="s">
        <v>91</v>
      </c>
    </row>
    <row r="61" ht="15.75" customHeight="1">
      <c r="B61" s="5" t="s">
        <v>366</v>
      </c>
      <c r="C61" s="5" t="s">
        <v>367</v>
      </c>
      <c r="D61" s="5" t="s">
        <v>368</v>
      </c>
      <c r="E61" s="5" t="s">
        <v>369</v>
      </c>
      <c r="F61" s="5" t="s">
        <v>91</v>
      </c>
    </row>
    <row r="62" ht="15.75" customHeight="1">
      <c r="B62" s="5" t="s">
        <v>370</v>
      </c>
      <c r="C62" s="5" t="s">
        <v>371</v>
      </c>
      <c r="D62" s="5" t="s">
        <v>372</v>
      </c>
      <c r="E62" s="5" t="s">
        <v>373</v>
      </c>
      <c r="F62" s="5" t="s">
        <v>91</v>
      </c>
    </row>
    <row r="63" ht="15.75" customHeight="1">
      <c r="B63" s="5" t="s">
        <v>374</v>
      </c>
      <c r="C63" s="5" t="s">
        <v>375</v>
      </c>
      <c r="D63" s="5" t="s">
        <v>376</v>
      </c>
      <c r="E63" s="5" t="s">
        <v>369</v>
      </c>
      <c r="F63" s="5" t="s">
        <v>114</v>
      </c>
    </row>
    <row r="64" ht="15.75" customHeight="1">
      <c r="B64" s="5" t="s">
        <v>378</v>
      </c>
      <c r="C64" s="5" t="s">
        <v>379</v>
      </c>
      <c r="D64" s="5" t="s">
        <v>381</v>
      </c>
      <c r="E64" s="5" t="s">
        <v>382</v>
      </c>
      <c r="F64" s="5" t="s">
        <v>91</v>
      </c>
    </row>
    <row r="65" ht="15.75" customHeight="1">
      <c r="B65" s="5" t="s">
        <v>383</v>
      </c>
      <c r="C65" s="5" t="s">
        <v>386</v>
      </c>
      <c r="D65" s="5" t="s">
        <v>388</v>
      </c>
      <c r="E65" s="5" t="s">
        <v>389</v>
      </c>
      <c r="F65" s="5" t="s">
        <v>114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1"/>
  </hyperlinks>
  <printOptions/>
  <pageMargins bottom="1.0" footer="0.0" header="0.0" left="0.75" right="0.75" top="1.0"/>
  <pageSetup paperSize="9" orientation="portrait"/>
  <drawing r:id="rId2"/>
</worksheet>
</file>